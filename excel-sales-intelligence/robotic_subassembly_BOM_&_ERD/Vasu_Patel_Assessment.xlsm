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vasupatel/Documents/application/2026/assessment/"/>
    </mc:Choice>
  </mc:AlternateContent>
  <xr:revisionPtr revIDLastSave="0" documentId="13_ncr:1_{E43482FF-85B1-B84F-B794-2C4F3F5C165B}" xr6:coauthVersionLast="47" xr6:coauthVersionMax="47" xr10:uidLastSave="{00000000-0000-0000-0000-000000000000}"/>
  <bookViews>
    <workbookView xWindow="0" yWindow="740" windowWidth="29400" windowHeight="16920" xr2:uid="{14C59F02-C1ED-2648-BBB2-39E1C1B1079E}"/>
  </bookViews>
  <sheets>
    <sheet name="Sheet1" sheetId="1" r:id="rId1"/>
    <sheet name="Vendor_A" sheetId="2" r:id="rId2"/>
    <sheet name="Vendor_B" sheetId="3" r:id="rId3"/>
    <sheet name="Vendor_C" sheetId="4" r:id="rId4"/>
    <sheet name="Product_List" sheetId="6" r:id="rId5"/>
    <sheet name="Product_BOM" sheetId="5" r:id="rId6"/>
  </sheets>
  <definedNames>
    <definedName name="_xleta.PRICE" hidden="1" xlm="1">#NAME?</definedName>
    <definedName name="_xleta.ROW" hidden="1" xlm="1">#NAME?</definedName>
    <definedName name="_xlpm.a" hidden="1" xlm="1">#NAME?</definedName>
    <definedName name="_xlpm.b" hidden="1" xlm="1">#NAME?</definedName>
    <definedName name="_xlpm.inA" hidden="1" xlm="1">#NAME?</definedName>
    <definedName name="_xlpm.inB" hidden="1" xlm="1">#NAME?</definedName>
    <definedName name="_xlpm.inC" hidden="1" xlm="1">#NAME?</definedName>
    <definedName name="_xlpm.Name" hidden="1" xlm="1">#NAME?</definedName>
    <definedName name="_xlpm.Price" hidden="1" xlm="1">#NAME?</definedName>
    <definedName name="_xlpm.qty" hidden="1" xlm="1">#NAME?</definedName>
    <definedName name="_xlpm.Src" hidden="1" xlm="1">#NAME?</definedName>
    <definedName name="fnGetParameter">Product_BOM!$B$4</definedName>
    <definedName name="Global_Production_Volume">Product_BOM!$D$4</definedName>
    <definedName name="Max_Buildable_Qty">Product_BOM!$G$4</definedName>
    <definedName name="SelectionSource">Product_BOM!$B$4</definedName>
    <definedName name="UserSelection">Product_BOM!$B$4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0" i="5" l="1"/>
  <c r="J21" i="5"/>
  <c r="J22" i="5"/>
  <c r="J23" i="5"/>
  <c r="J24" i="5"/>
  <c r="J25" i="5"/>
  <c r="J26" i="5"/>
  <c r="I20" i="5"/>
  <c r="I21" i="5"/>
  <c r="I22" i="5"/>
  <c r="I23" i="5"/>
  <c r="I24" i="5"/>
  <c r="I25" i="5"/>
  <c r="I26" i="5"/>
  <c r="H20" i="5"/>
  <c r="H21" i="5"/>
  <c r="H22" i="5"/>
  <c r="H23" i="5"/>
  <c r="H24" i="5"/>
  <c r="H25" i="5"/>
  <c r="H26" i="5"/>
  <c r="F20" i="5"/>
  <c r="F21" i="5"/>
  <c r="F22" i="5"/>
  <c r="F23" i="5"/>
  <c r="F24" i="5"/>
  <c r="F25" i="5"/>
  <c r="F26" i="5"/>
  <c r="G20" i="5"/>
  <c r="G21" i="5"/>
  <c r="G22" i="5"/>
  <c r="G23" i="5"/>
  <c r="G24" i="5"/>
  <c r="G25" i="5"/>
  <c r="G26" i="5"/>
  <c r="D20" i="5"/>
  <c r="D21" i="5"/>
  <c r="C21" i="5" s="1"/>
  <c r="D22" i="5"/>
  <c r="C22" i="5" s="1"/>
  <c r="D23" i="5"/>
  <c r="C23" i="5" s="1"/>
  <c r="D24" i="5"/>
  <c r="C24" i="5" s="1"/>
  <c r="D25" i="5"/>
  <c r="C25" i="5" s="1"/>
  <c r="D26" i="5"/>
  <c r="C26" i="5" s="1"/>
  <c r="C20" i="5"/>
  <c r="J8" i="5"/>
  <c r="J9" i="5"/>
  <c r="J10" i="5"/>
  <c r="J11" i="5"/>
  <c r="J12" i="5"/>
  <c r="J13" i="5"/>
  <c r="J14" i="5"/>
  <c r="I8" i="5"/>
  <c r="I9" i="5"/>
  <c r="I10" i="5"/>
  <c r="I11" i="5"/>
  <c r="I12" i="5"/>
  <c r="I13" i="5"/>
  <c r="I14" i="5"/>
  <c r="H8" i="5"/>
  <c r="H9" i="5"/>
  <c r="H10" i="5"/>
  <c r="H11" i="5"/>
  <c r="H12" i="5"/>
  <c r="H13" i="5"/>
  <c r="H14" i="5"/>
  <c r="F8" i="5"/>
  <c r="F9" i="5"/>
  <c r="F10" i="5"/>
  <c r="F11" i="5"/>
  <c r="F12" i="5"/>
  <c r="F13" i="5"/>
  <c r="F14" i="5"/>
  <c r="G8" i="5"/>
  <c r="G9" i="5"/>
  <c r="G10" i="5"/>
  <c r="G11" i="5"/>
  <c r="G12" i="5"/>
  <c r="G13" i="5"/>
  <c r="G14" i="5"/>
  <c r="D8" i="5"/>
  <c r="D9" i="5"/>
  <c r="D10" i="5"/>
  <c r="C10" i="5" s="1"/>
  <c r="D11" i="5"/>
  <c r="C11" i="5" s="1"/>
  <c r="D12" i="5"/>
  <c r="C12" i="5" s="1"/>
  <c r="D13" i="5"/>
  <c r="C13" i="5" s="1"/>
  <c r="D14" i="5"/>
  <c r="C14" i="5" s="1"/>
  <c r="C8" i="5"/>
  <c r="C9" i="5"/>
  <c r="F4" i="5"/>
  <c r="C4" i="5" l="1"/>
  <c r="E4" i="5" l="1"/>
</calcChain>
</file>

<file path=xl/sharedStrings.xml><?xml version="1.0" encoding="utf-8"?>
<sst xmlns="http://schemas.openxmlformats.org/spreadsheetml/2006/main" count="669" uniqueCount="277">
  <si>
    <t>Part_ID</t>
  </si>
  <si>
    <t>Part_Name</t>
  </si>
  <si>
    <t>Unit_Price</t>
  </si>
  <si>
    <t>Category</t>
  </si>
  <si>
    <t>Subcategory</t>
  </si>
  <si>
    <t>Lead_Time_Days</t>
  </si>
  <si>
    <t>MOQ</t>
  </si>
  <si>
    <t>Preferred_Vendor</t>
  </si>
  <si>
    <t>Weight_kg</t>
  </si>
  <si>
    <t>Country_of_Origin</t>
  </si>
  <si>
    <t>Lifecycle_Status</t>
  </si>
  <si>
    <t>Supplier_SKU</t>
  </si>
  <si>
    <t>Last_Price_Update</t>
  </si>
  <si>
    <t>ACT-101</t>
  </si>
  <si>
    <t>High Torque Servo Motor 1kW</t>
  </si>
  <si>
    <t>Motion &amp; Actuation</t>
  </si>
  <si>
    <t>Joint Actuator Module</t>
  </si>
  <si>
    <t>Vendor_A</t>
  </si>
  <si>
    <t>Japan</t>
  </si>
  <si>
    <t>Active</t>
  </si>
  <si>
    <t>HTS1K-JP-01</t>
  </si>
  <si>
    <t>ACT-102</t>
  </si>
  <si>
    <t>Harmonic Drive 80:1 Precision</t>
  </si>
  <si>
    <t>Vendor_B</t>
  </si>
  <si>
    <t>Germany</t>
  </si>
  <si>
    <t>HD80-DE-02</t>
  </si>
  <si>
    <t>ACT-103</t>
  </si>
  <si>
    <t>Compact Planetary Gearbox 20:1</t>
  </si>
  <si>
    <t>Vendor_C</t>
  </si>
  <si>
    <t>USA</t>
  </si>
  <si>
    <t>CPG20-US-03</t>
  </si>
  <si>
    <t>LIN-101</t>
  </si>
  <si>
    <t>Mini Linear Actuator 200mm</t>
  </si>
  <si>
    <t>Linear Motion Assembly</t>
  </si>
  <si>
    <t>China</t>
  </si>
  <si>
    <t>MLA200-CN-04</t>
  </si>
  <si>
    <t>LIN-102</t>
  </si>
  <si>
    <t>Ball Screw Assembly 300mm</t>
  </si>
  <si>
    <t>Taiwan</t>
  </si>
  <si>
    <t>BSA300-TW-05</t>
  </si>
  <si>
    <t>ROT-101</t>
  </si>
  <si>
    <t>Precision Rotary Stage 150mm</t>
  </si>
  <si>
    <t>Rotary Table Assembly</t>
  </si>
  <si>
    <t>PRS150-JP-06</t>
  </si>
  <si>
    <t>GRP-101</t>
  </si>
  <si>
    <t>Two Finger Electric Gripper</t>
  </si>
  <si>
    <t>End Effector Assembly</t>
  </si>
  <si>
    <t>TFG-DE-07</t>
  </si>
  <si>
    <t>GRP-102</t>
  </si>
  <si>
    <t>Vacuum Pump Compact Unit</t>
  </si>
  <si>
    <t>VPC-US-08</t>
  </si>
  <si>
    <t>SNS-101</t>
  </si>
  <si>
    <t>Absolute Encoder 17bit</t>
  </si>
  <si>
    <t>Control &amp; Electronics</t>
  </si>
  <si>
    <t>Sensor Integration Package</t>
  </si>
  <si>
    <t>ENC17-JP-09</t>
  </si>
  <si>
    <t>SNS-102</t>
  </si>
  <si>
    <t>Industrial Laser Distance Sensor</t>
  </si>
  <si>
    <t>LDS-DE-10</t>
  </si>
  <si>
    <t>CTRL-101</t>
  </si>
  <si>
    <t>Servo Drive 48V 20A</t>
  </si>
  <si>
    <t>Motion Control Module</t>
  </si>
  <si>
    <t>SD48-US-11</t>
  </si>
  <si>
    <t>CTRL-102</t>
  </si>
  <si>
    <t>Embedded Motion Controller ARM</t>
  </si>
  <si>
    <t>EMC-TW-12</t>
  </si>
  <si>
    <t>COMM-101</t>
  </si>
  <si>
    <t>Fieldbus Interface CANopen</t>
  </si>
  <si>
    <t>Communication Interface Unit</t>
  </si>
  <si>
    <t>CAN-DE-13</t>
  </si>
  <si>
    <t>SAFE-101</t>
  </si>
  <si>
    <t>Safety PLC Compact</t>
  </si>
  <si>
    <t>Safety System Module</t>
  </si>
  <si>
    <t>SPLC-DE-14</t>
  </si>
  <si>
    <t>BRG-101</t>
  </si>
  <si>
    <t>Cross Roller Bearing 120mm</t>
  </si>
  <si>
    <t>Supporting Components</t>
  </si>
  <si>
    <t>Bearing Pack</t>
  </si>
  <si>
    <t>CRB120-JP-15</t>
  </si>
  <si>
    <t>COOL-101</t>
  </si>
  <si>
    <t>Industrial Heat Sink Assembly</t>
  </si>
  <si>
    <t>Cooling System</t>
  </si>
  <si>
    <t>IHS-CN-16</t>
  </si>
  <si>
    <t>FAST-101</t>
  </si>
  <si>
    <t>Timing Belt Kit GT3</t>
  </si>
  <si>
    <t>Fastener Kit</t>
  </si>
  <si>
    <t>TBK-US-17</t>
  </si>
  <si>
    <t>CAB-101</t>
  </si>
  <si>
    <t>Robotic Cable Harness 12 Core</t>
  </si>
  <si>
    <t>Power &amp; Pneumatics</t>
  </si>
  <si>
    <t>Cable Management</t>
  </si>
  <si>
    <t>RCH-US-18</t>
  </si>
  <si>
    <t>PWR-101</t>
  </si>
  <si>
    <t>Switching Power Supply 48V</t>
  </si>
  <si>
    <t>Power Supply Module</t>
  </si>
  <si>
    <t>SPS48-CN-19</t>
  </si>
  <si>
    <t>PNE-101</t>
  </si>
  <si>
    <t>Pneumatic Cylinder ISO 63mm</t>
  </si>
  <si>
    <t>Pneumatic System Pack</t>
  </si>
  <si>
    <t>PC63-DE-20</t>
  </si>
  <si>
    <t>HMI-201</t>
  </si>
  <si>
    <t>Industrial Touch Panel 10in</t>
  </si>
  <si>
    <t>HMI</t>
  </si>
  <si>
    <t>Teach Pendant</t>
  </si>
  <si>
    <t>ITP10-TW-21</t>
  </si>
  <si>
    <t>HMI-202</t>
  </si>
  <si>
    <t>Programmable Keypad Panel</t>
  </si>
  <si>
    <t>PKP-CN-22</t>
  </si>
  <si>
    <t>HMI-203</t>
  </si>
  <si>
    <t>Status Indicator Tower RGB</t>
  </si>
  <si>
    <t>Indicator Module</t>
  </si>
  <si>
    <t>SIT-CN-23</t>
  </si>
  <si>
    <t>PLC-201</t>
  </si>
  <si>
    <t>Industrial PLC Controller 32IO</t>
  </si>
  <si>
    <t>System Integration</t>
  </si>
  <si>
    <t>Robot-PLC Interface</t>
  </si>
  <si>
    <t>PLC32-DE-24</t>
  </si>
  <si>
    <t>PLC-202</t>
  </si>
  <si>
    <t>Signal Conditioning Module</t>
  </si>
  <si>
    <t>SCM-US-25</t>
  </si>
  <si>
    <t>PLC-203</t>
  </si>
  <si>
    <t>Isolation Relay Board</t>
  </si>
  <si>
    <t>IRB-US-26</t>
  </si>
  <si>
    <t>SAFE-201</t>
  </si>
  <si>
    <t>Emergency Stop Station</t>
  </si>
  <si>
    <t>Safety Module</t>
  </si>
  <si>
    <t>ESS-DE-27</t>
  </si>
  <si>
    <t>SAFE-202</t>
  </si>
  <si>
    <t>Area Safety Scanner</t>
  </si>
  <si>
    <t>ASS-JP-28</t>
  </si>
  <si>
    <t>COMM-201</t>
  </si>
  <si>
    <t>Industrial WiFi Gateway</t>
  </si>
  <si>
    <t>Communication Module</t>
  </si>
  <si>
    <t>IWG-TW-29</t>
  </si>
  <si>
    <t>COMM-202</t>
  </si>
  <si>
    <t>Edge Computing Gateway</t>
  </si>
  <si>
    <t>ECG-US-30</t>
  </si>
  <si>
    <t>SNS-201</t>
  </si>
  <si>
    <t>3D Vision Sensor Module</t>
  </si>
  <si>
    <t>3DV-DE-31</t>
  </si>
  <si>
    <t>SNS-202</t>
  </si>
  <si>
    <t>Capacitive Proximity Sensor</t>
  </si>
  <si>
    <t>CPS-CN-32</t>
  </si>
  <si>
    <t>CTRL-201</t>
  </si>
  <si>
    <t>Multi Axis Motion Controller</t>
  </si>
  <si>
    <t>MAMC-US-33</t>
  </si>
  <si>
    <t>CTRL-202</t>
  </si>
  <si>
    <t>Power Monitoring Module</t>
  </si>
  <si>
    <t>PMM-US-34</t>
  </si>
  <si>
    <t>COOL-201</t>
  </si>
  <si>
    <t>Liquid Cooling Pump</t>
  </si>
  <si>
    <t>LCP-DE-35</t>
  </si>
  <si>
    <t>CAB-201</t>
  </si>
  <si>
    <t>Industrial Connector Kit M23</t>
  </si>
  <si>
    <t>Connector Assembly</t>
  </si>
  <si>
    <t>ICK-DE-36</t>
  </si>
  <si>
    <t>FAST-201</t>
  </si>
  <si>
    <t>Mounting Bracket Aluminum Set</t>
  </si>
  <si>
    <t>MBA-US-37</t>
  </si>
  <si>
    <t>BRG-201</t>
  </si>
  <si>
    <t>Precision Angular Bearing Set</t>
  </si>
  <si>
    <t>PAB-JP-38</t>
  </si>
  <si>
    <t>ROB-301</t>
  </si>
  <si>
    <t>Collaborative Robot Joint Module</t>
  </si>
  <si>
    <t>Robotics</t>
  </si>
  <si>
    <t>Actuation</t>
  </si>
  <si>
    <t>CRJ-JP-39</t>
  </si>
  <si>
    <t>ROB-302</t>
  </si>
  <si>
    <t>Vacuum Gripper Array 8 Cup</t>
  </si>
  <si>
    <t>End Effector</t>
  </si>
  <si>
    <t>VGA-US-40</t>
  </si>
  <si>
    <t>ROB-303</t>
  </si>
  <si>
    <t>Robot Wrist Camera Mount</t>
  </si>
  <si>
    <t>Mechanical Structure</t>
  </si>
  <si>
    <t>RCM-CN-41</t>
  </si>
  <si>
    <t>IND-301</t>
  </si>
  <si>
    <t>Conveyor Drive Motor 0.75kW</t>
  </si>
  <si>
    <t>Industrial Automation</t>
  </si>
  <si>
    <t>Material Handling</t>
  </si>
  <si>
    <t>CDM-DE-42</t>
  </si>
  <si>
    <t>IND-302</t>
  </si>
  <si>
    <t>Roller Conveyor Section 1m</t>
  </si>
  <si>
    <t>RCS-US-43</t>
  </si>
  <si>
    <t>IND-303</t>
  </si>
  <si>
    <t>Automated Pallet Lift Module</t>
  </si>
  <si>
    <t>APL-CN-44</t>
  </si>
  <si>
    <t>CNC-301</t>
  </si>
  <si>
    <t>Precision Spindle Motor 5kW</t>
  </si>
  <si>
    <t>CNC Systems</t>
  </si>
  <si>
    <t>Machine Tool</t>
  </si>
  <si>
    <t>PSM-JP-45</t>
  </si>
  <si>
    <t>CNC-302</t>
  </si>
  <si>
    <t>Tool Changer Carousel 16 Slot</t>
  </si>
  <si>
    <t>TCC-TW-46</t>
  </si>
  <si>
    <t>PKG-301</t>
  </si>
  <si>
    <t>Automatic Label Applicator</t>
  </si>
  <si>
    <t>Packaging Systems</t>
  </si>
  <si>
    <t>Labeling Module</t>
  </si>
  <si>
    <t>ALA-US-47</t>
  </si>
  <si>
    <t>PKG-302</t>
  </si>
  <si>
    <t>Carton Sealing Module</t>
  </si>
  <si>
    <t>Sealing System</t>
  </si>
  <si>
    <t>CSM-CN-48</t>
  </si>
  <si>
    <t>AGV-301</t>
  </si>
  <si>
    <t>AGV Drive Wheel Assembly</t>
  </si>
  <si>
    <t>Mobile Robotics</t>
  </si>
  <si>
    <t>Drive System</t>
  </si>
  <si>
    <t>AGV-DE-49</t>
  </si>
  <si>
    <t>AGV-302</t>
  </si>
  <si>
    <t>Lithium Battery Pack 48V 40Ah</t>
  </si>
  <si>
    <t>Power System</t>
  </si>
  <si>
    <t>South Korea</t>
  </si>
  <si>
    <t>LBP-KR-50</t>
  </si>
  <si>
    <t>SENS-301</t>
  </si>
  <si>
    <t>Laser Scanner Safety Lidar</t>
  </si>
  <si>
    <t>Safety System</t>
  </si>
  <si>
    <t>LSS-DE-51</t>
  </si>
  <si>
    <t>ELEC-301</t>
  </si>
  <si>
    <t>Industrial Control Cabinet</t>
  </si>
  <si>
    <t>Electrical System</t>
  </si>
  <si>
    <t>ICC-US-52</t>
  </si>
  <si>
    <t>ELEC-302</t>
  </si>
  <si>
    <t>Power Distribution Panel 480V</t>
  </si>
  <si>
    <t>PDP-US-53</t>
  </si>
  <si>
    <t>MECH-301</t>
  </si>
  <si>
    <t>Vibration Isolation Table</t>
  </si>
  <si>
    <t>Industrial Equipment</t>
  </si>
  <si>
    <t>VIT-DE-54</t>
  </si>
  <si>
    <t>MECH-302</t>
  </si>
  <si>
    <t>Heavy Duty Linear Rail 1m</t>
  </si>
  <si>
    <t>Mechanical Components</t>
  </si>
  <si>
    <t>HLR-JP-55</t>
  </si>
  <si>
    <t>Product Category</t>
  </si>
  <si>
    <t>Supplier Terms and Pricing</t>
  </si>
  <si>
    <t>Supplier Master Data</t>
  </si>
  <si>
    <t>Production Volume</t>
  </si>
  <si>
    <t>Vendor</t>
  </si>
  <si>
    <t>Total_Quantity</t>
  </si>
  <si>
    <t>Quantity_Per_Unit</t>
  </si>
  <si>
    <t>Quantity_In_Stock</t>
  </si>
  <si>
    <t>Robotic Assembly Line</t>
  </si>
  <si>
    <t>On-Hand Quantity</t>
  </si>
  <si>
    <t>P-1001</t>
  </si>
  <si>
    <t>P-1002</t>
  </si>
  <si>
    <t>P-1003</t>
  </si>
  <si>
    <t>Collaborative Robot Arm</t>
  </si>
  <si>
    <t>Automated Conveyor System</t>
  </si>
  <si>
    <t>Precision CNC Module</t>
  </si>
  <si>
    <t>Product_ID</t>
  </si>
  <si>
    <t>P-1004</t>
  </si>
  <si>
    <t>Compact Pick-and-Place Unit</t>
  </si>
  <si>
    <t>P-1005</t>
  </si>
  <si>
    <t>P-1006</t>
  </si>
  <si>
    <t>P-1007</t>
  </si>
  <si>
    <t>Smart Inspection Station</t>
  </si>
  <si>
    <t>Light Conveyor Automation Kit</t>
  </si>
  <si>
    <t>Lab Robot Kit</t>
  </si>
  <si>
    <t>Product List</t>
  </si>
  <si>
    <t>Product_Name</t>
  </si>
  <si>
    <t>Explicit Sourcing form Vendors</t>
  </si>
  <si>
    <t>Assembly Cost</t>
  </si>
  <si>
    <t>Avg. Assembly Labour (Rockville)/ hr</t>
  </si>
  <si>
    <t>Required Input From Drop Drown List</t>
  </si>
  <si>
    <t>Required Input</t>
  </si>
  <si>
    <t>Interactive</t>
  </si>
  <si>
    <t>Quantity_Per_Product</t>
  </si>
  <si>
    <t>Max_Buildable_Qty</t>
  </si>
  <si>
    <t>Total_Cost</t>
  </si>
  <si>
    <t>Bills Of Materials</t>
  </si>
  <si>
    <t xml:space="preserve">Structural Overview </t>
  </si>
  <si>
    <t xml:space="preserve">The workbook assessment copy.xlsm is built as a relational inventory and manufacturing management system. Its structure includes three main layers that consist of the Data Layer (worksheets Vendor_A, Vendor_B, and Vendor_C), the Master Logic Layer (Product_List), and the Interface Layer (Product_BOM). The three vendor sheets contain a standard table (table_vendor_a, etc.) with Part IDs with names and stock. The Product_List sheet acts as a junction, associating finished products with specific component Part IDs through table_product_list. The final stage is the Product_BOM (Sheet5), which is a dashboard form, and selecting a Finished Product in cell B4 triggers VBA-led loading of table_BOM and table_explicit_items. </t>
  </si>
  <si>
    <t xml:space="preserve">Formula Documentation and Logic </t>
  </si>
  <si>
    <t xml:space="preserve">The workbook is using modern Excel “Lambda-style” functions to do multi-vendor lookups. A critical pattern found in the Vendor column of table_BOM is the use of LET and SWITCH. Each vendor is thus subjected to the ISNUMBER(MATCH([@[Part_ID]], table_vendor_x[Part_ID], 0)) formula check. If the item is found in a specific vendor’s table, then the SWITCH dispatch in the formula returns the vendor. It implements a logic of Automated Vendor Discovery, which means that the Workbook automatically identifies the source vendor without requiring manual input by the user.  </t>
  </si>
  <si>
    <t xml:space="preserve">Table-Driven Calculations and Automation </t>
  </si>
  <si>
    <t>Heavy use of the Excel Structured References system (e.g., [@[Part_ID]]) is crucial to ensuring calculation integrity amid table expansion. Thus, when the VBA code inserts a new row into table_BOM, Excel Tables’ ‘Calculated Column’ property automatically copies the formulas for Part_Name, Vendor, and Total_Cost into the new row. There is a strong automation dependency with Total_Cost column and the Unit_Price column, whereby cost is a product of Total_Quantity and Unit_Price. In case a manually entered static value overwrites a calculated formula, the ‘HealTableFormulas’ macro logic prioritizes the system over a human.</t>
  </si>
  <si>
    <t xml:space="preserve">VBA Component Analysis </t>
  </si>
  <si>
    <t xml:space="preserve">The VBA environment has three main procedures that drive the workbook’s automation. The first one, LoadBOM_Modular_Final, fires when cell B4 is changed. Its job is to clear table_BOM and loop through the table_product_list to find all components for the selected product. The control flow here is a For loop that finds all matching Part IDs and populates the BOM table accordingly. Therefore, the table_BOM is always cleared of any data from a previous product selection, before the components of a new product are added to the table_BOM (Create a ‘Clean Slate’ every time a new product is selected). 
The second part is a Worksheet_Change event under the Sheet5 code module. It watches for two different triggers, changing the product selection (B4) and changes to the Part_ID column in the tables. If a user enters a new Part ID in the last row of a table, the code initiates a ‘Row Elasticity’ reasoning and adds a new blank row below it. On the other hand, an action of deleting an existing Part ID snaps the table back by deleting the empty row. 
The third available component, CalculateMaxBuild, is a summary procedure that culminates its work with an aggregation of the total costs and stock availability and producing a final ‘Build Status' for the user.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</si>
</sst>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00_);_([$$-409]* \(#,##0.00\);_([$$-409]* &quot;-&quot;??_);_(@_)"/>
    <numFmt numFmtId="165" formatCode="&quot;$&quot;#,##0.00"/>
  </numFmts>
  <fonts count="23">
    <font>
      <sz val="12"/>
      <color theme="1"/>
      <name val="Aptos Narrow"/>
      <family val="2"/>
      <scheme val="minor"/>
    </font>
    <font>
      <sz val="12"/>
      <color theme="1"/>
      <name val="Aptos Narrow"/>
      <family val="2"/>
      <scheme val="minor"/>
    </font>
    <font>
      <sz val="26"/>
      <color theme="1"/>
      <name val="Times New Roman"/>
      <family val="1"/>
    </font>
    <font>
      <sz val="26"/>
      <color theme="1"/>
      <name val="Aptos Narrow"/>
      <family val="2"/>
      <scheme val="minor"/>
    </font>
    <font>
      <sz val="8"/>
      <name val="Aptos Narrow"/>
      <family val="2"/>
      <scheme val="minor"/>
    </font>
    <font>
      <i/>
      <sz val="16"/>
      <color theme="1"/>
      <name val="Aptos Narrow"/>
      <scheme val="minor"/>
    </font>
    <font>
      <sz val="12"/>
      <color theme="1"/>
      <name val="Aptos Narrow"/>
      <scheme val="minor"/>
    </font>
    <font>
      <sz val="14"/>
      <color rgb="FF000000"/>
      <name val="-webkit-standard"/>
    </font>
    <font>
      <sz val="26"/>
      <color theme="1"/>
      <name val="Aptos Display"/>
      <scheme val="major"/>
    </font>
    <font>
      <i/>
      <sz val="16"/>
      <color rgb="FF000000"/>
      <name val="Aptos Display"/>
      <scheme val="major"/>
    </font>
    <font>
      <sz val="16"/>
      <color theme="1"/>
      <name val="Aptos Display"/>
      <scheme val="major"/>
    </font>
    <font>
      <sz val="11"/>
      <color rgb="FF000000"/>
      <name val="Aptos Narrow"/>
      <scheme val="minor"/>
    </font>
    <font>
      <sz val="11"/>
      <color theme="1"/>
      <name val="Aptos Narrow"/>
      <scheme val="minor"/>
    </font>
    <font>
      <sz val="20"/>
      <color theme="1" tint="0.34998626667073579"/>
      <name val="Aptos Narrow"/>
      <family val="2"/>
      <scheme val="minor"/>
    </font>
    <font>
      <sz val="20"/>
      <color theme="1" tint="0.34998626667073579"/>
      <name val="Aptos Display"/>
      <scheme val="major"/>
    </font>
    <font>
      <i/>
      <sz val="26"/>
      <color theme="1"/>
      <name val="Times New Roman"/>
      <family val="1"/>
    </font>
    <font>
      <i/>
      <sz val="16"/>
      <color theme="0"/>
      <name val="Aptos Narrow"/>
      <scheme val="minor"/>
    </font>
    <font>
      <i/>
      <sz val="16"/>
      <color theme="1"/>
      <name val="Aptos Display"/>
      <scheme val="major"/>
    </font>
    <font>
      <i/>
      <sz val="14"/>
      <color theme="1"/>
      <name val="Aptos Narrow"/>
      <scheme val="minor"/>
    </font>
    <font>
      <sz val="14"/>
      <color theme="1"/>
      <name val="Aptos Narrow"/>
      <family val="2"/>
      <scheme val="minor"/>
    </font>
    <font>
      <sz val="12"/>
      <color rgb="FF000000"/>
      <name val="Aptos Narrow"/>
      <family val="2"/>
    </font>
    <font>
      <b/>
      <sz val="20"/>
      <name val="Aptos Narrow"/>
    </font>
    <font>
      <b/>
      <sz val="26"/>
      <color theme="1"/>
      <name val="Aptos Narrow"/>
      <scheme val="minor"/>
    </font>
  </fonts>
  <fills count="12">
    <fill>
      <patternFill patternType="none"/>
    </fill>
    <fill>
      <patternFill patternType="gray125"/>
    </fill>
    <fill>
      <patternFill patternType="solid">
        <fgColor theme="3" tint="0.749992370372631"/>
        <bgColor indexed="64"/>
      </patternFill>
    </fill>
    <fill>
      <patternFill patternType="solid">
        <fgColor rgb="FF83A2C0"/>
        <bgColor indexed="64"/>
      </patternFill>
    </fill>
    <fill>
      <patternFill patternType="solid">
        <fgColor rgb="FFCBDDED"/>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FBDA82"/>
        <bgColor indexed="64"/>
      </patternFill>
    </fill>
    <fill>
      <patternFill patternType="solid">
        <fgColor rgb="FFF7EFCF"/>
        <bgColor indexed="64"/>
      </patternFill>
    </fill>
    <fill>
      <patternFill patternType="solid">
        <fgColor theme="0"/>
        <bgColor indexed="64"/>
      </patternFill>
    </fill>
    <fill>
      <patternFill patternType="solid">
        <fgColor theme="8" tint="0.79998168889431442"/>
        <bgColor indexed="64"/>
      </patternFill>
    </fill>
    <fill>
      <patternFill patternType="solid">
        <fgColor rgb="FFF4E7F9"/>
        <bgColor indexed="64"/>
      </patternFill>
    </fill>
  </fills>
  <borders count="19">
    <border>
      <left/>
      <right/>
      <top/>
      <bottom/>
      <diagonal/>
    </border>
    <border>
      <left style="medium">
        <color theme="0"/>
      </left>
      <right style="medium">
        <color theme="0"/>
      </right>
      <top style="medium">
        <color theme="0"/>
      </top>
      <bottom style="medium">
        <color theme="0"/>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style="medium">
        <color theme="0"/>
      </left>
      <right/>
      <top/>
      <bottom/>
      <diagonal/>
    </border>
    <border>
      <left/>
      <right/>
      <top/>
      <bottom style="medium">
        <color theme="0"/>
      </bottom>
      <diagonal/>
    </border>
    <border>
      <left/>
      <right style="medium">
        <color theme="0"/>
      </right>
      <top style="medium">
        <color theme="0"/>
      </top>
      <bottom/>
      <diagonal/>
    </border>
    <border>
      <left/>
      <right style="medium">
        <color theme="0"/>
      </right>
      <top/>
      <bottom/>
      <diagonal/>
    </border>
    <border>
      <left style="medium">
        <color theme="0"/>
      </left>
      <right style="medium">
        <color theme="0"/>
      </right>
      <top/>
      <bottom/>
      <diagonal/>
    </border>
    <border>
      <left style="thick">
        <color theme="0"/>
      </left>
      <right style="thick">
        <color theme="0"/>
      </right>
      <top style="thick">
        <color theme="0"/>
      </top>
      <bottom style="thick">
        <color theme="0"/>
      </bottom>
      <diagonal/>
    </border>
    <border>
      <left style="medium">
        <color rgb="FFFFFFFF"/>
      </left>
      <right style="medium">
        <color rgb="FFFFFFFF"/>
      </right>
      <top style="medium">
        <color rgb="FFFFFFFF"/>
      </top>
      <bottom/>
      <diagonal/>
    </border>
    <border>
      <left/>
      <right style="medium">
        <color rgb="FFFFFFFF"/>
      </right>
      <top style="medium">
        <color rgb="FFFFFFFF"/>
      </top>
      <bottom/>
      <diagonal/>
    </border>
    <border>
      <left style="medium">
        <color theme="0"/>
      </left>
      <right style="medium">
        <color theme="0"/>
      </right>
      <top style="medium">
        <color theme="0"/>
      </top>
      <bottom/>
      <diagonal/>
    </border>
    <border>
      <left/>
      <right/>
      <top style="medium">
        <color theme="0"/>
      </top>
      <bottom style="medium">
        <color theme="0"/>
      </bottom>
      <diagonal/>
    </border>
  </borders>
  <cellStyleXfs count="2">
    <xf numFmtId="0" fontId="0" fillId="0" borderId="0"/>
    <xf numFmtId="44" fontId="1" fillId="0" borderId="0" applyFont="0" applyFill="0" applyBorder="0" applyAlignment="0" applyProtection="0"/>
  </cellStyleXfs>
  <cellXfs count="107">
    <xf numFmtId="0" fontId="0" fillId="0" borderId="0" xfId="0"/>
    <xf numFmtId="164" fontId="0" fillId="0" borderId="0" xfId="0" applyNumberFormat="1"/>
    <xf numFmtId="44" fontId="0" fillId="0" borderId="0" xfId="1" applyFont="1"/>
    <xf numFmtId="0" fontId="5" fillId="0" borderId="0" xfId="0" applyFont="1" applyAlignment="1">
      <alignment horizontal="center" vertical="center"/>
    </xf>
    <xf numFmtId="0" fontId="5" fillId="0" borderId="1" xfId="0" applyFont="1" applyBorder="1" applyAlignment="1">
      <alignment horizontal="center" vertical="center"/>
    </xf>
    <xf numFmtId="44" fontId="5" fillId="0" borderId="1" xfId="1" applyFont="1" applyBorder="1" applyAlignment="1">
      <alignment horizontal="center" vertical="center"/>
    </xf>
    <xf numFmtId="0" fontId="0" fillId="2" borderId="1" xfId="0" applyFill="1" applyBorder="1"/>
    <xf numFmtId="0" fontId="0" fillId="4" borderId="1" xfId="0" applyFill="1" applyBorder="1"/>
    <xf numFmtId="0" fontId="0" fillId="6" borderId="1" xfId="0" applyFill="1" applyBorder="1"/>
    <xf numFmtId="0" fontId="0" fillId="7" borderId="1" xfId="0" applyFill="1" applyBorder="1"/>
    <xf numFmtId="0" fontId="0" fillId="8" borderId="1" xfId="0" applyFill="1" applyBorder="1"/>
    <xf numFmtId="14" fontId="0" fillId="8" borderId="1" xfId="0" applyNumberFormat="1" applyFill="1" applyBorder="1"/>
    <xf numFmtId="164" fontId="5" fillId="0" borderId="1" xfId="0" applyNumberFormat="1" applyFont="1" applyBorder="1" applyAlignment="1">
      <alignment horizontal="center" vertical="center"/>
    </xf>
    <xf numFmtId="0" fontId="6" fillId="2" borderId="1" xfId="0" applyFont="1" applyFill="1" applyBorder="1"/>
    <xf numFmtId="0" fontId="5" fillId="0" borderId="3" xfId="0" applyFont="1" applyBorder="1" applyAlignment="1">
      <alignment horizontal="center" vertical="center"/>
    </xf>
    <xf numFmtId="0" fontId="5" fillId="9" borderId="13" xfId="0" applyFont="1" applyFill="1" applyBorder="1" applyAlignment="1">
      <alignment horizontal="center" vertical="center"/>
    </xf>
    <xf numFmtId="0" fontId="10" fillId="0" borderId="0" xfId="0" applyFont="1"/>
    <xf numFmtId="0" fontId="0" fillId="0" borderId="1" xfId="0" applyBorder="1"/>
    <xf numFmtId="0" fontId="9" fillId="0" borderId="0" xfId="0" applyFont="1" applyAlignment="1">
      <alignment horizontal="center" vertical="center"/>
    </xf>
    <xf numFmtId="0" fontId="12" fillId="11" borderId="1" xfId="0" applyFont="1" applyFill="1" applyBorder="1"/>
    <xf numFmtId="0" fontId="0" fillId="0" borderId="14" xfId="0" applyBorder="1"/>
    <xf numFmtId="0" fontId="11" fillId="11" borderId="1" xfId="0" applyFont="1" applyFill="1" applyBorder="1"/>
    <xf numFmtId="0" fontId="9" fillId="0" borderId="15" xfId="0" applyFont="1" applyBorder="1" applyAlignment="1">
      <alignment horizontal="center" vertical="center"/>
    </xf>
    <xf numFmtId="0" fontId="9" fillId="0" borderId="16" xfId="0" applyFont="1" applyBorder="1" applyAlignment="1">
      <alignment horizontal="center" vertical="center"/>
    </xf>
    <xf numFmtId="164" fontId="0" fillId="5" borderId="1" xfId="0" applyNumberFormat="1" applyFill="1" applyBorder="1" applyProtection="1">
      <protection locked="0"/>
    </xf>
    <xf numFmtId="44" fontId="0" fillId="5" borderId="1" xfId="1" applyFont="1" applyFill="1" applyBorder="1" applyProtection="1">
      <protection locked="0"/>
    </xf>
    <xf numFmtId="0" fontId="0" fillId="9" borderId="1" xfId="0" applyFill="1" applyBorder="1"/>
    <xf numFmtId="0" fontId="7" fillId="9" borderId="1" xfId="0" applyFont="1" applyFill="1" applyBorder="1"/>
    <xf numFmtId="0" fontId="0" fillId="9" borderId="1" xfId="0" applyFill="1" applyBorder="1" applyProtection="1">
      <protection locked="0"/>
    </xf>
    <xf numFmtId="44" fontId="0" fillId="9" borderId="1" xfId="1" applyFont="1" applyFill="1" applyBorder="1"/>
    <xf numFmtId="0" fontId="0" fillId="0" borderId="1" xfId="0" applyBorder="1" applyAlignment="1">
      <alignment horizontal="center"/>
    </xf>
    <xf numFmtId="0" fontId="8" fillId="7" borderId="1" xfId="0" applyFont="1" applyFill="1" applyBorder="1" applyAlignment="1">
      <alignment horizontal="center"/>
    </xf>
    <xf numFmtId="44" fontId="0" fillId="0" borderId="1" xfId="1" applyFont="1" applyBorder="1" applyAlignment="1">
      <alignment horizontal="center"/>
    </xf>
    <xf numFmtId="0" fontId="13" fillId="0" borderId="1" xfId="0" applyFont="1" applyBorder="1" applyAlignment="1">
      <alignment horizontal="center" vertical="center"/>
    </xf>
    <xf numFmtId="0" fontId="13" fillId="7" borderId="1" xfId="0" applyFont="1" applyFill="1" applyBorder="1" applyAlignment="1">
      <alignment horizontal="center" vertical="center"/>
    </xf>
    <xf numFmtId="0" fontId="14" fillId="7" borderId="1" xfId="0" applyFont="1" applyFill="1" applyBorder="1" applyAlignment="1" applyProtection="1">
      <alignment horizontal="center" vertical="center"/>
      <protection locked="0"/>
    </xf>
    <xf numFmtId="44" fontId="13" fillId="0" borderId="1" xfId="1" applyFont="1" applyBorder="1" applyAlignment="1">
      <alignment horizontal="center" vertical="center"/>
    </xf>
    <xf numFmtId="0" fontId="15" fillId="0" borderId="1" xfId="0" applyFont="1" applyBorder="1"/>
    <xf numFmtId="0" fontId="5" fillId="9" borderId="1" xfId="0" applyFont="1" applyFill="1" applyBorder="1" applyAlignment="1">
      <alignment horizontal="center" vertical="center"/>
    </xf>
    <xf numFmtId="0" fontId="5" fillId="9" borderId="1" xfId="0" applyFont="1" applyFill="1" applyBorder="1"/>
    <xf numFmtId="44" fontId="5" fillId="9" borderId="1" xfId="1" applyFont="1" applyFill="1" applyBorder="1"/>
    <xf numFmtId="44" fontId="0" fillId="0" borderId="1" xfId="1" applyFont="1" applyBorder="1"/>
    <xf numFmtId="0" fontId="16" fillId="0" borderId="1" xfId="0" applyFont="1" applyBorder="1" applyAlignment="1">
      <alignment horizontal="center" vertical="center"/>
    </xf>
    <xf numFmtId="0" fontId="0" fillId="9" borderId="6" xfId="0" applyFill="1" applyBorder="1" applyAlignment="1" applyProtection="1">
      <alignment horizontal="center"/>
      <protection locked="0"/>
    </xf>
    <xf numFmtId="0" fontId="0" fillId="9" borderId="18" xfId="0" applyFill="1" applyBorder="1" applyAlignment="1" applyProtection="1">
      <alignment horizontal="center"/>
      <protection locked="0"/>
    </xf>
    <xf numFmtId="0" fontId="0" fillId="9" borderId="5" xfId="0" applyFill="1" applyBorder="1" applyAlignment="1" applyProtection="1">
      <alignment horizontal="center"/>
      <protection locked="0"/>
    </xf>
    <xf numFmtId="0" fontId="19" fillId="8" borderId="1" xfId="0" applyFont="1" applyFill="1" applyBorder="1" applyAlignment="1">
      <alignment horizontal="center" vertical="center"/>
    </xf>
    <xf numFmtId="44" fontId="19" fillId="8" borderId="1" xfId="1" applyFont="1" applyFill="1" applyBorder="1" applyAlignment="1">
      <alignment horizontal="center" vertical="center"/>
    </xf>
    <xf numFmtId="44" fontId="0" fillId="8" borderId="1" xfId="1" applyFont="1" applyFill="1" applyBorder="1" applyAlignment="1">
      <alignment horizontal="center" vertical="center"/>
    </xf>
    <xf numFmtId="0" fontId="19" fillId="8" borderId="1" xfId="0" applyFont="1" applyFill="1" applyBorder="1" applyAlignment="1" applyProtection="1">
      <alignment horizontal="center" vertical="center"/>
      <protection locked="0"/>
    </xf>
    <xf numFmtId="0" fontId="3" fillId="7" borderId="1" xfId="0" applyFont="1" applyFill="1" applyBorder="1" applyAlignment="1">
      <alignment horizontal="center"/>
    </xf>
    <xf numFmtId="44" fontId="13" fillId="7" borderId="1" xfId="1" applyFont="1" applyFill="1" applyBorder="1" applyAlignment="1">
      <alignment horizontal="center" vertical="center"/>
    </xf>
    <xf numFmtId="165" fontId="13" fillId="7" borderId="1" xfId="1" applyNumberFormat="1" applyFont="1" applyFill="1" applyBorder="1" applyAlignment="1">
      <alignment horizontal="center" vertical="center"/>
    </xf>
    <xf numFmtId="0" fontId="5" fillId="9" borderId="1" xfId="0" applyFont="1" applyFill="1" applyBorder="1" applyAlignment="1">
      <alignment horizontal="center"/>
    </xf>
    <xf numFmtId="44" fontId="18" fillId="8" borderId="1" xfId="1" applyFont="1" applyFill="1" applyBorder="1" applyAlignment="1">
      <alignment horizontal="center"/>
    </xf>
    <xf numFmtId="0" fontId="0" fillId="0" borderId="6" xfId="0" applyBorder="1" applyAlignment="1">
      <alignment horizontal="center"/>
    </xf>
    <xf numFmtId="0" fontId="0" fillId="0" borderId="18" xfId="0" applyBorder="1" applyAlignment="1">
      <alignment horizontal="center"/>
    </xf>
    <xf numFmtId="0" fontId="0" fillId="0" borderId="5" xfId="0" applyBorder="1" applyAlignment="1">
      <alignment horizontal="center"/>
    </xf>
    <xf numFmtId="0" fontId="5" fillId="0" borderId="13" xfId="0" applyFont="1" applyBorder="1" applyAlignment="1">
      <alignment horizontal="center" vertical="center"/>
    </xf>
    <xf numFmtId="0" fontId="6" fillId="0" borderId="1" xfId="0" applyFont="1" applyBorder="1"/>
    <xf numFmtId="0" fontId="0" fillId="0" borderId="3" xfId="0" applyBorder="1"/>
    <xf numFmtId="0" fontId="0" fillId="0" borderId="17" xfId="0" applyBorder="1"/>
    <xf numFmtId="44" fontId="3" fillId="7" borderId="1" xfId="1" applyFont="1" applyFill="1" applyBorder="1" applyAlignment="1">
      <alignment horizontal="center"/>
    </xf>
    <xf numFmtId="0" fontId="0" fillId="7" borderId="1" xfId="0" applyFill="1" applyBorder="1" applyProtection="1">
      <protection locked="0"/>
    </xf>
    <xf numFmtId="0" fontId="12" fillId="11" borderId="1" xfId="0" applyFont="1" applyFill="1" applyBorder="1" applyProtection="1">
      <protection locked="0"/>
    </xf>
    <xf numFmtId="0" fontId="13" fillId="7" borderId="1" xfId="0" applyFont="1" applyFill="1" applyBorder="1" applyAlignment="1" applyProtection="1">
      <alignment horizontal="center" vertical="center"/>
      <protection locked="0"/>
    </xf>
    <xf numFmtId="0" fontId="5" fillId="9" borderId="3" xfId="0" applyFont="1" applyFill="1" applyBorder="1"/>
    <xf numFmtId="0" fontId="0" fillId="8" borderId="1" xfId="0" applyFill="1" applyBorder="1" applyAlignment="1" applyProtection="1">
      <alignment horizontal="center"/>
      <protection locked="0"/>
    </xf>
    <xf numFmtId="0" fontId="0" fillId="8" borderId="1" xfId="0" applyFill="1" applyBorder="1" applyAlignment="1">
      <alignment horizontal="center"/>
    </xf>
    <xf numFmtId="44" fontId="0" fillId="8" borderId="1" xfId="1" applyFont="1" applyFill="1" applyBorder="1" applyAlignment="1">
      <alignment horizontal="center"/>
    </xf>
    <xf numFmtId="0" fontId="13" fillId="7" borderId="1" xfId="1" applyNumberFormat="1" applyFont="1" applyFill="1" applyBorder="1" applyAlignment="1" applyProtection="1">
      <alignment horizontal="center" vertical="center"/>
      <protection locked="0"/>
    </xf>
    <xf numFmtId="0" fontId="2" fillId="3" borderId="1" xfId="0" applyFont="1" applyFill="1" applyBorder="1" applyAlignment="1">
      <alignment horizontal="center"/>
    </xf>
    <xf numFmtId="0" fontId="3" fillId="3" borderId="1" xfId="0" applyFont="1" applyFill="1" applyBorder="1" applyAlignment="1">
      <alignment horizontal="center"/>
    </xf>
    <xf numFmtId="0" fontId="2" fillId="5" borderId="1" xfId="0" applyFont="1" applyFill="1" applyBorder="1" applyAlignment="1">
      <alignment horizontal="center"/>
    </xf>
    <xf numFmtId="0" fontId="0" fillId="5" borderId="1" xfId="0" applyFill="1" applyBorder="1" applyAlignment="1">
      <alignment horizontal="center"/>
    </xf>
    <xf numFmtId="0" fontId="2" fillId="7" borderId="7" xfId="0" applyFont="1" applyFill="1" applyBorder="1" applyAlignment="1">
      <alignment horizontal="center"/>
    </xf>
    <xf numFmtId="0" fontId="2" fillId="7" borderId="8" xfId="0" applyFont="1" applyFill="1" applyBorder="1" applyAlignment="1">
      <alignment horizontal="center"/>
    </xf>
    <xf numFmtId="0" fontId="2" fillId="7" borderId="11" xfId="0" applyFont="1" applyFill="1" applyBorder="1" applyAlignment="1">
      <alignment horizontal="center"/>
    </xf>
    <xf numFmtId="0" fontId="2" fillId="7" borderId="4" xfId="0" applyFont="1" applyFill="1" applyBorder="1" applyAlignment="1">
      <alignment horizontal="center"/>
    </xf>
    <xf numFmtId="0" fontId="2" fillId="7" borderId="10" xfId="0" applyFont="1" applyFill="1" applyBorder="1" applyAlignment="1">
      <alignment horizontal="center"/>
    </xf>
    <xf numFmtId="0" fontId="2" fillId="7" borderId="2" xfId="0" applyFont="1" applyFill="1" applyBorder="1" applyAlignment="1">
      <alignment horizontal="center"/>
    </xf>
    <xf numFmtId="0" fontId="2" fillId="7" borderId="1" xfId="0" applyFont="1" applyFill="1" applyBorder="1" applyAlignment="1">
      <alignment horizontal="center"/>
    </xf>
    <xf numFmtId="0" fontId="2" fillId="7" borderId="9" xfId="0" applyFont="1" applyFill="1" applyBorder="1" applyAlignment="1">
      <alignment horizontal="center"/>
    </xf>
    <xf numFmtId="0" fontId="2" fillId="7" borderId="0" xfId="0" applyFont="1" applyFill="1" applyAlignment="1">
      <alignment horizontal="center"/>
    </xf>
    <xf numFmtId="0" fontId="2" fillId="10" borderId="7" xfId="0" applyFont="1" applyFill="1" applyBorder="1" applyAlignment="1">
      <alignment horizontal="center"/>
    </xf>
    <xf numFmtId="0" fontId="2" fillId="10" borderId="8" xfId="0" applyFont="1" applyFill="1" applyBorder="1" applyAlignment="1">
      <alignment horizontal="center"/>
    </xf>
    <xf numFmtId="0" fontId="2" fillId="10" borderId="11" xfId="0" applyFont="1" applyFill="1" applyBorder="1" applyAlignment="1">
      <alignment horizontal="center"/>
    </xf>
    <xf numFmtId="0" fontId="2" fillId="10" borderId="9" xfId="0" applyFont="1" applyFill="1" applyBorder="1" applyAlignment="1">
      <alignment horizontal="center"/>
    </xf>
    <xf numFmtId="0" fontId="2" fillId="10" borderId="0" xfId="0" applyFont="1" applyFill="1" applyAlignment="1">
      <alignment horizontal="center"/>
    </xf>
    <xf numFmtId="0" fontId="2" fillId="10" borderId="12" xfId="0" applyFont="1" applyFill="1" applyBorder="1" applyAlignment="1">
      <alignment horizontal="center"/>
    </xf>
    <xf numFmtId="0" fontId="17" fillId="0" borderId="6" xfId="0" applyFont="1" applyBorder="1" applyAlignment="1">
      <alignment horizontal="center"/>
    </xf>
    <xf numFmtId="0" fontId="17" fillId="0" borderId="18" xfId="0" applyFont="1" applyBorder="1" applyAlignment="1">
      <alignment horizontal="center"/>
    </xf>
    <xf numFmtId="0" fontId="17" fillId="0" borderId="5" xfId="0" applyFont="1" applyBorder="1" applyAlignment="1">
      <alignment horizontal="center"/>
    </xf>
    <xf numFmtId="0" fontId="18" fillId="8" borderId="5" xfId="0" applyNumberFormat="1" applyFont="1" applyFill="1" applyBorder="1" applyAlignment="1" applyProtection="1">
      <alignment horizontal="center" vertical="center"/>
      <protection locked="0"/>
    </xf>
    <xf numFmtId="0" fontId="18" fillId="8" borderId="1" xfId="0" applyNumberFormat="1" applyFont="1" applyFill="1" applyBorder="1" applyAlignment="1" applyProtection="1">
      <alignment horizontal="center" vertical="center"/>
    </xf>
    <xf numFmtId="0" fontId="18" fillId="8" borderId="1" xfId="0" applyNumberFormat="1" applyFont="1" applyFill="1" applyBorder="1" applyAlignment="1">
      <alignment horizontal="center"/>
    </xf>
    <xf numFmtId="0" fontId="18" fillId="8" borderId="1" xfId="0" applyNumberFormat="1" applyFont="1" applyFill="1" applyBorder="1" applyAlignment="1" applyProtection="1">
      <alignment horizontal="center"/>
      <protection locked="0"/>
    </xf>
    <xf numFmtId="44" fontId="18" fillId="8" borderId="1" xfId="1" applyNumberFormat="1" applyFont="1" applyFill="1" applyBorder="1" applyAlignment="1">
      <alignment horizontal="center"/>
    </xf>
    <xf numFmtId="0" fontId="18" fillId="8" borderId="6" xfId="0" applyNumberFormat="1" applyFont="1" applyFill="1" applyBorder="1" applyAlignment="1" applyProtection="1">
      <alignment horizontal="center"/>
    </xf>
    <xf numFmtId="0" fontId="0" fillId="0" borderId="0" xfId="0" applyAlignment="1">
      <alignment horizontal="center" vertical="center"/>
    </xf>
    <xf numFmtId="0" fontId="22" fillId="8" borderId="0" xfId="0" applyFont="1" applyFill="1" applyAlignment="1">
      <alignment horizontal="center" vertical="center"/>
    </xf>
    <xf numFmtId="0" fontId="22" fillId="0" borderId="0" xfId="0" applyFont="1" applyFill="1" applyAlignment="1">
      <alignment vertical="center"/>
    </xf>
    <xf numFmtId="0" fontId="0" fillId="8" borderId="0" xfId="0" applyFill="1" applyAlignment="1">
      <alignment horizontal="center" vertical="center" wrapText="1"/>
    </xf>
    <xf numFmtId="0" fontId="0" fillId="8" borderId="0" xfId="0" applyFill="1"/>
    <xf numFmtId="0" fontId="5" fillId="0" borderId="0" xfId="0" applyFont="1" applyAlignment="1">
      <alignment horizontal="center" vertical="center"/>
    </xf>
    <xf numFmtId="0" fontId="5" fillId="0" borderId="0" xfId="0" applyFont="1"/>
    <xf numFmtId="0" fontId="5" fillId="0" borderId="0" xfId="0" applyFont="1" applyAlignment="1">
      <alignment horizontal="center" vertical="center" wrapText="1"/>
    </xf>
  </cellXfs>
  <cellStyles count="2">
    <cellStyle name="Currency" xfId="1" builtinId="4"/>
    <cellStyle name="Normal" xfId="0" builtinId="0"/>
  </cellStyles>
  <dxfs count="83">
    <dxf>
      <font>
        <color rgb="FF9C0006"/>
      </font>
      <fill>
        <patternFill>
          <bgColor rgb="FFFFC7CE"/>
        </patternFill>
      </fill>
    </dxf>
    <dxf>
      <border>
        <left style="thin">
          <color rgb="FF9C0006"/>
        </left>
        <right style="thin">
          <color rgb="FF9C0006"/>
        </right>
        <top style="thin">
          <color rgb="FF9C0006"/>
        </top>
        <bottom style="thin">
          <color rgb="FF9C0006"/>
        </bottom>
      </border>
    </dxf>
    <dxf>
      <font>
        <strike val="0"/>
        <outline val="0"/>
        <shadow val="0"/>
        <u val="none"/>
        <vertAlign val="baseline"/>
        <sz val="14"/>
        <color theme="1"/>
        <name val="Aptos Narrow"/>
        <scheme val="minor"/>
      </font>
      <numFmt numFmtId="0" formatCode="General"/>
      <fill>
        <patternFill patternType="solid">
          <fgColor indexed="64"/>
          <bgColor rgb="FFF7EFCF"/>
        </patternFill>
      </fill>
      <alignment horizontal="center" textRotation="0" wrapText="0" indent="0" justifyLastLine="0" shrinkToFit="0" readingOrder="0"/>
      <border diagonalUp="0" diagonalDown="0">
        <left style="medium">
          <color theme="0"/>
        </left>
        <right/>
        <top style="medium">
          <color theme="0"/>
        </top>
        <bottom style="medium">
          <color theme="0"/>
        </bottom>
      </border>
      <protection locked="1" hidden="0"/>
    </dxf>
    <dxf>
      <font>
        <strike val="0"/>
        <outline val="0"/>
        <shadow val="0"/>
        <u val="none"/>
        <vertAlign val="baseline"/>
        <sz val="14"/>
        <color theme="1"/>
        <name val="Aptos Narrow"/>
        <scheme val="minor"/>
      </font>
      <numFmt numFmtId="0" formatCode="General"/>
      <fill>
        <patternFill patternType="solid">
          <fgColor indexed="64"/>
          <bgColor rgb="FFF7EFCF"/>
        </patternFill>
      </fill>
      <alignment horizontal="center" textRotation="0" wrapText="0" indent="0" justifyLastLine="0" shrinkToFit="0" readingOrder="0"/>
      <border diagonalUp="0" diagonalDown="0">
        <left style="medium">
          <color theme="0"/>
        </left>
        <right/>
        <top style="medium">
          <color theme="0"/>
        </top>
        <bottom style="medium">
          <color theme="0"/>
        </bottom>
      </border>
      <protection locked="1" hidden="0"/>
    </dxf>
    <dxf>
      <fill>
        <patternFill patternType="solid">
          <fgColor indexed="64"/>
          <bgColor rgb="FFF7EFCF"/>
        </patternFill>
      </fill>
      <alignment horizontal="center" textRotation="0" wrapText="0" indent="0" justifyLastLine="0" shrinkToFit="0" readingOrder="0"/>
    </dxf>
    <dxf>
      <fill>
        <patternFill patternType="solid">
          <fgColor indexed="64"/>
          <bgColor rgb="FFF7EFCF"/>
        </patternFill>
      </fill>
      <alignment horizont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4" formatCode="_(&quot;$&quot;* #,##0.00_);_(&quot;$&quot;* \(#,##0.00\);_(&quot;$&quot;* &quot;-&quot;??_);_(@_)"/>
      <fill>
        <patternFill patternType="solid">
          <fgColor indexed="64"/>
          <bgColor rgb="FFF7EFCF"/>
        </patternFill>
      </fill>
      <alignment horizont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4" formatCode="_(&quot;$&quot;* #,##0.00_);_(&quot;$&quot;* \(#,##0.00\);_(&quot;$&quot;* &quot;-&quot;??_);_(@_)"/>
      <fill>
        <patternFill patternType="solid">
          <fgColor indexed="64"/>
          <bgColor rgb="FFF7EFCF"/>
        </patternFill>
      </fill>
      <alignment horizontal="center" textRotation="0" wrapText="0" indent="0" justifyLastLine="0" shrinkToFit="0" readingOrder="0"/>
    </dxf>
    <dxf>
      <numFmt numFmtId="0" formatCode="General"/>
      <fill>
        <patternFill patternType="solid">
          <fgColor indexed="64"/>
          <bgColor rgb="FFF7EFCF"/>
        </patternFill>
      </fill>
      <alignment horizontal="center" textRotation="0" wrapText="0" indent="0" justifyLastLine="0" shrinkToFit="0" readingOrder="0"/>
    </dxf>
    <dxf>
      <fill>
        <patternFill patternType="solid">
          <fgColor indexed="64"/>
          <bgColor rgb="FFF7EFCF"/>
        </patternFill>
      </fill>
      <alignment horizontal="center" textRotation="0" wrapText="0" indent="0" justifyLastLine="0" shrinkToFit="0" readingOrder="0"/>
    </dxf>
    <dxf>
      <numFmt numFmtId="0" formatCode="General"/>
      <fill>
        <patternFill patternType="solid">
          <fgColor indexed="64"/>
          <bgColor rgb="FFF7EFCF"/>
        </patternFill>
      </fill>
      <alignment horizontal="center" textRotation="0" wrapText="0" indent="0" justifyLastLine="0" shrinkToFit="0" readingOrder="0"/>
    </dxf>
    <dxf>
      <numFmt numFmtId="0" formatCode="General"/>
      <fill>
        <patternFill patternType="solid">
          <fgColor indexed="64"/>
          <bgColor rgb="FFF7EFCF"/>
        </patternFill>
      </fill>
      <alignment horizontal="center" textRotation="0" wrapText="0" indent="0" justifyLastLine="0" shrinkToFit="0" readingOrder="0"/>
    </dxf>
    <dxf>
      <fill>
        <patternFill patternType="solid">
          <fgColor indexed="64"/>
          <bgColor rgb="FFF7EFCF"/>
        </patternFill>
      </fill>
      <alignment horizontal="center" textRotation="0" wrapText="0" indent="0" justifyLastLine="0" shrinkToFit="0" readingOrder="0"/>
      <protection locked="0" hidden="0"/>
    </dxf>
    <dxf>
      <border outline="0">
        <top style="medium">
          <color theme="0"/>
        </top>
      </border>
    </dxf>
    <dxf>
      <fill>
        <patternFill patternType="solid">
          <fgColor indexed="64"/>
          <bgColor rgb="FFF7EFCF"/>
        </patternFill>
      </fill>
      <alignment horizontal="center" textRotation="0" wrapText="0" indent="0" justifyLastLine="0" shrinkToFit="0" readingOrder="0"/>
    </dxf>
    <dxf>
      <font>
        <b val="0"/>
        <i/>
        <strike val="0"/>
        <condense val="0"/>
        <extend val="0"/>
        <outline val="0"/>
        <shadow val="0"/>
        <u val="none"/>
        <vertAlign val="baseline"/>
        <sz val="16"/>
        <color theme="0"/>
        <name val="Aptos Narrow"/>
        <scheme val="minor"/>
      </font>
      <alignment horizontal="center" vertical="center" textRotation="0" wrapText="0" indent="0" justifyLastLine="0" shrinkToFit="0" readingOrder="0"/>
    </dxf>
    <dxf>
      <font>
        <strike val="0"/>
        <outline val="0"/>
        <shadow val="0"/>
        <u val="none"/>
        <vertAlign val="baseline"/>
        <sz val="14"/>
        <color theme="1"/>
        <name val="Aptos Narrow"/>
        <scheme val="minor"/>
      </font>
      <numFmt numFmtId="34" formatCode="_(&quot;$&quot;* #,##0.00_);_(&quot;$&quot;* \(#,##0.00\);_(&quot;$&quot;* &quot;-&quot;??_);_(@_)"/>
      <fill>
        <patternFill patternType="solid">
          <fgColor indexed="64"/>
          <bgColor rgb="FFF7EFCF"/>
        </patternFill>
      </fill>
      <alignment horizontal="center" textRotation="0" wrapText="0" indent="0" justifyLastLine="0" shrinkToFit="0" readingOrder="0"/>
      <border diagonalUp="0" diagonalDown="0" outline="0">
        <left style="medium">
          <color theme="0"/>
        </left>
        <right style="medium">
          <color theme="0"/>
        </right>
        <top style="medium">
          <color theme="0"/>
        </top>
        <bottom style="medium">
          <color theme="0"/>
        </bottom>
      </border>
    </dxf>
    <dxf>
      <font>
        <strike val="0"/>
        <outline val="0"/>
        <shadow val="0"/>
        <u val="none"/>
        <vertAlign val="baseline"/>
        <sz val="14"/>
        <color theme="1"/>
        <name val="Aptos Narrow"/>
        <scheme val="minor"/>
      </font>
      <fill>
        <patternFill patternType="solid">
          <fgColor indexed="64"/>
          <bgColor rgb="FFF7EFCF"/>
        </patternFill>
      </fill>
      <alignment horizontal="center" textRotation="0" wrapText="0" indent="0" justifyLastLine="0" shrinkToFit="0" readingOrder="0"/>
      <border diagonalUp="0" diagonalDown="0" outline="0">
        <left style="medium">
          <color theme="0"/>
        </left>
        <right style="medium">
          <color theme="0"/>
        </right>
        <top style="medium">
          <color theme="0"/>
        </top>
        <bottom style="medium">
          <color theme="0"/>
        </bottom>
      </border>
    </dxf>
    <dxf>
      <font>
        <strike val="0"/>
        <outline val="0"/>
        <shadow val="0"/>
        <u val="none"/>
        <vertAlign val="baseline"/>
        <sz val="14"/>
        <color theme="1"/>
        <name val="Aptos Narrow"/>
        <scheme val="minor"/>
      </font>
      <numFmt numFmtId="0" formatCode="General"/>
      <fill>
        <patternFill patternType="solid">
          <fgColor indexed="64"/>
          <bgColor rgb="FFF7EFCF"/>
        </patternFill>
      </fill>
      <alignment horizontal="center" textRotation="0" wrapText="0" indent="0" justifyLastLine="0" shrinkToFit="0" readingOrder="0"/>
      <border diagonalUp="0" diagonalDown="0">
        <left style="medium">
          <color theme="0"/>
        </left>
        <right style="medium">
          <color theme="0"/>
        </right>
        <top style="medium">
          <color theme="0"/>
        </top>
        <bottom style="medium">
          <color theme="0"/>
        </bottom>
      </border>
    </dxf>
    <dxf>
      <font>
        <strike val="0"/>
        <outline val="0"/>
        <shadow val="0"/>
        <u val="none"/>
        <vertAlign val="baseline"/>
        <sz val="14"/>
        <color theme="1"/>
        <name val="Aptos Narrow"/>
        <scheme val="minor"/>
      </font>
      <numFmt numFmtId="0" formatCode="General"/>
      <fill>
        <patternFill patternType="solid">
          <fgColor indexed="64"/>
          <bgColor rgb="FFF7EFCF"/>
        </patternFill>
      </fill>
      <alignment horizontal="center" textRotation="0" wrapText="0" indent="0" justifyLastLine="0" shrinkToFit="0" readingOrder="0"/>
      <border diagonalUp="0" diagonalDown="0" outline="0">
        <left style="medium">
          <color theme="0"/>
        </left>
        <right style="medium">
          <color theme="0"/>
        </right>
        <top style="medium">
          <color theme="0"/>
        </top>
        <bottom style="medium">
          <color theme="0"/>
        </bottom>
      </border>
      <protection locked="0" hidden="0"/>
    </dxf>
    <dxf>
      <font>
        <strike val="0"/>
        <outline val="0"/>
        <shadow val="0"/>
        <u val="none"/>
        <vertAlign val="baseline"/>
        <sz val="14"/>
        <color theme="1"/>
        <name val="Aptos Narrow"/>
        <scheme val="minor"/>
      </font>
      <numFmt numFmtId="0" formatCode="General"/>
      <fill>
        <patternFill patternType="solid">
          <fgColor indexed="64"/>
          <bgColor rgb="FFF7EFCF"/>
        </patternFill>
      </fill>
      <alignment horizontal="center" textRotation="0" wrapText="0" indent="0" justifyLastLine="0" shrinkToFit="0" readingOrder="0"/>
      <border diagonalUp="0" diagonalDown="0" outline="0">
        <left style="medium">
          <color theme="0"/>
        </left>
        <right style="medium">
          <color theme="0"/>
        </right>
        <top style="medium">
          <color theme="0"/>
        </top>
        <bottom style="medium">
          <color theme="0"/>
        </bottom>
      </border>
    </dxf>
    <dxf>
      <font>
        <strike val="0"/>
        <outline val="0"/>
        <shadow val="0"/>
        <u val="none"/>
        <vertAlign val="baseline"/>
        <sz val="14"/>
        <color theme="1"/>
        <name val="Aptos Narrow"/>
        <scheme val="minor"/>
      </font>
      <numFmt numFmtId="0" formatCode="General"/>
      <fill>
        <patternFill patternType="solid">
          <fgColor indexed="64"/>
          <bgColor rgb="FFF7EFCF"/>
        </patternFill>
      </fill>
      <alignment horizontal="center" textRotation="0" wrapText="0" indent="0" justifyLastLine="0" shrinkToFit="0" readingOrder="0"/>
      <border diagonalUp="0" diagonalDown="0" outline="0">
        <left style="medium">
          <color theme="0"/>
        </left>
        <right style="medium">
          <color theme="0"/>
        </right>
        <top style="medium">
          <color theme="0"/>
        </top>
        <bottom style="medium">
          <color theme="0"/>
        </bottom>
      </border>
      <protection locked="1" hidden="0"/>
    </dxf>
    <dxf>
      <font>
        <strike val="0"/>
        <outline val="0"/>
        <shadow val="0"/>
        <u val="none"/>
        <vertAlign val="baseline"/>
        <sz val="14"/>
        <color theme="1"/>
        <name val="Aptos Narrow"/>
        <scheme val="minor"/>
      </font>
      <numFmt numFmtId="0" formatCode="General"/>
      <fill>
        <patternFill patternType="solid">
          <fgColor indexed="64"/>
          <bgColor rgb="FFF7EFCF"/>
        </patternFill>
      </fill>
      <alignment horizontal="center" textRotation="0" wrapText="0" indent="0" justifyLastLine="0" shrinkToFit="0" readingOrder="0"/>
      <border diagonalUp="0" diagonalDown="0" outline="0">
        <left/>
        <right style="medium">
          <color theme="0"/>
        </right>
        <top style="medium">
          <color theme="0"/>
        </top>
        <bottom style="medium">
          <color theme="0"/>
        </bottom>
      </border>
      <protection locked="0" hidden="0"/>
    </dxf>
    <dxf>
      <border>
        <top style="medium">
          <color theme="0"/>
        </top>
      </border>
    </dxf>
    <dxf>
      <border diagonalUp="0" diagonalDown="0">
        <left style="medium">
          <color theme="0"/>
        </left>
        <right style="medium">
          <color theme="0"/>
        </right>
        <top style="medium">
          <color theme="0"/>
        </top>
        <bottom style="medium">
          <color theme="0"/>
        </bottom>
      </border>
    </dxf>
    <dxf>
      <font>
        <strike val="0"/>
        <outline val="0"/>
        <shadow val="0"/>
        <u val="none"/>
        <vertAlign val="baseline"/>
        <sz val="14"/>
        <color theme="1"/>
        <name val="Aptos Narrow"/>
        <scheme val="minor"/>
      </font>
      <fill>
        <patternFill patternType="solid">
          <fgColor indexed="64"/>
          <bgColor rgb="FFF7EFCF"/>
        </patternFill>
      </fill>
      <alignment horizontal="center" textRotation="0" wrapText="0" indent="0" justifyLastLine="0" shrinkToFit="0" readingOrder="0"/>
    </dxf>
    <dxf>
      <border>
        <bottom style="medium">
          <color theme="0"/>
        </bottom>
      </border>
    </dxf>
    <dxf>
      <font>
        <b val="0"/>
        <i/>
        <strike val="0"/>
        <condense val="0"/>
        <extend val="0"/>
        <outline val="0"/>
        <shadow val="0"/>
        <u val="none"/>
        <vertAlign val="baseline"/>
        <sz val="16"/>
        <color theme="1"/>
        <name val="Aptos Narrow"/>
        <scheme val="minor"/>
      </font>
      <fill>
        <patternFill patternType="solid">
          <fgColor indexed="64"/>
          <bgColor theme="0"/>
        </patternFill>
      </fill>
      <border diagonalUp="0" diagonalDown="0">
        <left style="medium">
          <color theme="0"/>
        </left>
        <right style="medium">
          <color theme="0"/>
        </right>
        <top/>
        <bottom/>
        <vertical style="medium">
          <color theme="0"/>
        </vertical>
        <horizontal style="medium">
          <color theme="0"/>
        </horizontal>
      </border>
    </dxf>
    <dxf>
      <font>
        <strike val="0"/>
        <outline val="0"/>
        <shadow val="0"/>
        <u val="none"/>
        <vertAlign val="baseline"/>
        <sz val="11"/>
        <name val="Aptos Narrow"/>
        <scheme val="minor"/>
      </font>
      <fill>
        <patternFill patternType="solid">
          <fgColor indexed="64"/>
          <bgColor rgb="FFF4E7F9"/>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0" hidden="0"/>
    </dxf>
    <dxf>
      <font>
        <strike val="0"/>
        <outline val="0"/>
        <shadow val="0"/>
        <u val="none"/>
        <vertAlign val="baseline"/>
        <sz val="11"/>
        <name val="Aptos Narrow"/>
        <scheme val="minor"/>
      </font>
      <fill>
        <patternFill>
          <fgColor indexed="64"/>
          <bgColor rgb="FFF4E7F9"/>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ont>
        <strike val="0"/>
        <outline val="0"/>
        <shadow val="0"/>
        <u val="none"/>
        <vertAlign val="baseline"/>
        <sz val="11"/>
        <name val="Aptos Narrow"/>
        <scheme val="minor"/>
      </font>
      <fill>
        <patternFill>
          <fgColor indexed="64"/>
          <bgColor rgb="FFF4E7F9"/>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ont>
        <strike val="0"/>
        <outline val="0"/>
        <shadow val="0"/>
        <u val="none"/>
        <vertAlign val="baseline"/>
        <sz val="11"/>
        <name val="Aptos Narrow"/>
        <scheme val="minor"/>
      </font>
      <fill>
        <patternFill patternType="solid">
          <fgColor indexed="64"/>
          <bgColor rgb="FFF4E7F9"/>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border outline="0">
        <top style="medium">
          <color theme="0"/>
        </top>
      </border>
    </dxf>
    <dxf>
      <font>
        <strike val="0"/>
        <outline val="0"/>
        <shadow val="0"/>
        <u val="none"/>
        <vertAlign val="baseline"/>
        <sz val="11"/>
        <name val="Aptos Narrow"/>
        <scheme val="minor"/>
      </font>
      <fill>
        <patternFill patternType="solid">
          <fgColor indexed="64"/>
          <bgColor rgb="FFF4E7F9"/>
        </patternFill>
      </fill>
    </dxf>
    <dxf>
      <font>
        <strike val="0"/>
        <outline val="0"/>
        <shadow val="0"/>
        <u val="none"/>
        <vertAlign val="baseline"/>
        <sz val="16"/>
        <name val="Aptos Display"/>
        <scheme val="major"/>
      </font>
    </dxf>
    <dxf>
      <numFmt numFmtId="19" formatCode="m/d/yy"/>
      <fill>
        <patternFill patternType="solid">
          <fgColor indexed="64"/>
          <bgColor rgb="FFF7EFCF"/>
        </patternFill>
      </fill>
      <border diagonalUp="0" diagonalDown="0">
        <left style="medium">
          <color theme="0"/>
        </left>
        <right/>
        <top style="medium">
          <color theme="0"/>
        </top>
        <bottom style="medium">
          <color theme="0"/>
        </bottom>
        <vertical style="medium">
          <color theme="0"/>
        </vertical>
        <horizontal style="medium">
          <color theme="0"/>
        </horizontal>
      </border>
    </dxf>
    <dxf>
      <fill>
        <patternFill patternType="solid">
          <fgColor indexed="64"/>
          <bgColor rgb="FFF7EFCF"/>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rgb="FFF7EFCF"/>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rgb="FFF7EFCF"/>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rgb="FFFBDA82"/>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rgb="FFFBDA82"/>
        </patternFill>
      </fill>
      <border diagonalUp="0" diagonalDown="0">
        <left style="medium">
          <color theme="0"/>
        </left>
        <right style="medium">
          <color theme="0"/>
        </right>
        <top style="medium">
          <color theme="0"/>
        </top>
        <bottom style="medium">
          <color theme="0"/>
        </bottom>
        <vertical/>
        <horizontal/>
      </border>
      <protection locked="0" hidden="0"/>
    </dxf>
    <dxf>
      <fill>
        <patternFill patternType="solid">
          <fgColor indexed="64"/>
          <bgColor rgb="FFFBDA82"/>
        </patternFill>
      </fill>
      <border diagonalUp="0" diagonalDown="0">
        <left style="medium">
          <color theme="0"/>
        </left>
        <right style="medium">
          <color theme="0"/>
        </right>
        <top style="medium">
          <color theme="0"/>
        </top>
        <bottom style="medium">
          <color theme="0"/>
        </bottom>
        <vertical/>
        <horizontal/>
      </border>
      <protection locked="0" hidden="0"/>
    </dxf>
    <dxf>
      <fill>
        <patternFill patternType="solid">
          <fgColor indexed="64"/>
          <bgColor theme="9" tint="0.79998168889431442"/>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theme="9" tint="0.79998168889431442"/>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theme="9" tint="0.79998168889431442"/>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numFmt numFmtId="164" formatCode="_([$$-409]* #,##0.00_);_([$$-409]* \(#,##0.00\);_([$$-409]* &quot;-&quot;??_);_(@_)"/>
      <fill>
        <patternFill patternType="solid">
          <fgColor indexed="64"/>
          <bgColor theme="9" tint="0.59999389629810485"/>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0" hidden="0"/>
    </dxf>
    <dxf>
      <fill>
        <patternFill patternType="solid">
          <fgColor indexed="64"/>
          <bgColor rgb="FFCBDDED"/>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rgb="FFCBDDED"/>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theme="3" tint="0.749992370372631"/>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theme="3" tint="0.749992370372631"/>
        </patternFill>
      </fill>
      <border diagonalUp="0" diagonalDown="0">
        <left/>
        <right style="medium">
          <color theme="0"/>
        </right>
        <top style="medium">
          <color theme="0"/>
        </top>
        <bottom style="medium">
          <color theme="0"/>
        </bottom>
        <vertical style="medium">
          <color theme="0"/>
        </vertical>
        <horizontal style="medium">
          <color theme="0"/>
        </horizontal>
      </border>
    </dxf>
    <dxf>
      <font>
        <i/>
        <strike val="0"/>
        <outline val="0"/>
        <shadow val="0"/>
        <u val="none"/>
        <vertAlign val="baseline"/>
        <sz val="16"/>
        <color theme="1"/>
        <name val="Aptos Narrow"/>
        <scheme val="minor"/>
      </font>
      <alignment horizontal="center" vertical="center" textRotation="0" wrapText="0" indent="0" justifyLastLine="0" shrinkToFit="0" readingOrder="0"/>
      <border diagonalUp="0" diagonalDown="0">
        <left style="medium">
          <color theme="0"/>
        </left>
        <right style="medium">
          <color theme="0"/>
        </right>
        <top/>
        <bottom/>
        <vertical style="medium">
          <color theme="0"/>
        </vertical>
        <horizontal style="medium">
          <color theme="0"/>
        </horizontal>
      </border>
    </dxf>
    <dxf>
      <numFmt numFmtId="19" formatCode="m/d/yy"/>
      <fill>
        <patternFill patternType="solid">
          <fgColor indexed="64"/>
          <bgColor rgb="FFF7EFCF"/>
        </patternFill>
      </fill>
      <border diagonalUp="0" diagonalDown="0" outline="0">
        <left style="medium">
          <color theme="0"/>
        </left>
        <right style="medium">
          <color theme="0"/>
        </right>
        <top style="medium">
          <color theme="0"/>
        </top>
        <bottom style="medium">
          <color theme="0"/>
        </bottom>
      </border>
    </dxf>
    <dxf>
      <fill>
        <patternFill patternType="solid">
          <fgColor indexed="64"/>
          <bgColor rgb="FFF7EFCF"/>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rgb="FFF7EFCF"/>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rgb="FFF7EFCF"/>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rgb="FFFBDA82"/>
        </patternFill>
      </fill>
      <border diagonalUp="0" diagonalDown="0" outline="0">
        <left style="medium">
          <color theme="0"/>
        </left>
        <right style="medium">
          <color theme="0"/>
        </right>
        <top style="medium">
          <color theme="0"/>
        </top>
        <bottom style="medium">
          <color theme="0"/>
        </bottom>
      </border>
    </dxf>
    <dxf>
      <fill>
        <patternFill patternType="solid">
          <fgColor indexed="64"/>
          <bgColor rgb="FFFBDA82"/>
        </patternFill>
      </fill>
      <border diagonalUp="0" diagonalDown="0">
        <left style="medium">
          <color theme="0"/>
        </left>
        <right style="medium">
          <color theme="0"/>
        </right>
        <top style="medium">
          <color theme="0"/>
        </top>
        <bottom style="medium">
          <color theme="0"/>
        </bottom>
        <vertical/>
        <horizontal/>
      </border>
      <protection locked="0" hidden="0"/>
    </dxf>
    <dxf>
      <numFmt numFmtId="19" formatCode="m/d/yy"/>
      <fill>
        <patternFill patternType="solid">
          <fgColor indexed="64"/>
          <bgColor rgb="FFFBDA82"/>
        </patternFill>
      </fill>
      <border diagonalUp="0" diagonalDown="0">
        <left style="medium">
          <color theme="0"/>
        </left>
        <right style="medium">
          <color theme="0"/>
        </right>
        <top style="medium">
          <color theme="0"/>
        </top>
        <bottom style="medium">
          <color theme="0"/>
        </bottom>
      </border>
      <protection locked="0" hidden="0"/>
    </dxf>
    <dxf>
      <fill>
        <patternFill patternType="solid">
          <fgColor indexed="64"/>
          <bgColor theme="9" tint="0.79998168889431442"/>
        </patternFill>
      </fill>
      <border diagonalUp="0" diagonalDown="0" outline="0">
        <left style="medium">
          <color theme="0"/>
        </left>
        <right style="medium">
          <color theme="0"/>
        </right>
        <top style="medium">
          <color theme="0"/>
        </top>
        <bottom style="medium">
          <color theme="0"/>
        </bottom>
      </border>
    </dxf>
    <dxf>
      <fill>
        <patternFill patternType="solid">
          <fgColor indexed="64"/>
          <bgColor theme="9" tint="0.79998168889431442"/>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theme="9" tint="0.79998168889431442"/>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numFmt numFmtId="164" formatCode="_([$$-409]* #,##0.00_);_([$$-409]* \(#,##0.00\);_([$$-409]* &quot;-&quot;??_);_(@_)"/>
      <fill>
        <patternFill patternType="solid">
          <fgColor indexed="64"/>
          <bgColor theme="9" tint="0.59999389629810485"/>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0" hidden="0"/>
    </dxf>
    <dxf>
      <fill>
        <patternFill patternType="solid">
          <fgColor indexed="64"/>
          <bgColor rgb="FFCBDDED"/>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rgb="FFCBDDED"/>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theme="3" tint="0.749992370372631"/>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theme="3" tint="0.749992370372631"/>
        </patternFill>
      </fill>
      <border diagonalUp="0" diagonalDown="0">
        <left/>
        <right style="medium">
          <color theme="0"/>
        </right>
        <top style="medium">
          <color theme="0"/>
        </top>
        <bottom style="medium">
          <color theme="0"/>
        </bottom>
        <vertical style="medium">
          <color theme="0"/>
        </vertical>
        <horizontal style="medium">
          <color theme="0"/>
        </horizontal>
      </border>
    </dxf>
    <dxf>
      <font>
        <i/>
        <strike val="0"/>
        <outline val="0"/>
        <shadow val="0"/>
        <u val="none"/>
        <vertAlign val="baseline"/>
        <sz val="16"/>
        <color theme="1"/>
        <name val="Aptos Narrow"/>
        <scheme val="minor"/>
      </font>
      <alignment horizontal="center" vertical="center" textRotation="0" wrapText="0" indent="0" justifyLastLine="0" shrinkToFit="0" readingOrder="0"/>
      <border diagonalUp="0" diagonalDown="0">
        <left style="medium">
          <color theme="0"/>
        </left>
        <right style="medium">
          <color theme="0"/>
        </right>
        <top/>
        <bottom/>
        <vertical style="medium">
          <color theme="0"/>
        </vertical>
        <horizontal style="medium">
          <color theme="0"/>
        </horizontal>
      </border>
    </dxf>
    <dxf>
      <numFmt numFmtId="19" formatCode="m/d/yy"/>
      <fill>
        <patternFill patternType="solid">
          <fgColor indexed="64"/>
          <bgColor rgb="FFF7EFCF"/>
        </patternFill>
      </fill>
      <border diagonalUp="0" diagonalDown="0" outline="0">
        <left style="medium">
          <color theme="0"/>
        </left>
        <right style="medium">
          <color theme="0"/>
        </right>
        <top style="medium">
          <color theme="0"/>
        </top>
        <bottom style="medium">
          <color theme="0"/>
        </bottom>
      </border>
    </dxf>
    <dxf>
      <fill>
        <patternFill patternType="solid">
          <fgColor indexed="64"/>
          <bgColor rgb="FFF7EFCF"/>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rgb="FFF7EFCF"/>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rgb="FFF7EFCF"/>
        </patternFill>
      </fill>
      <border diagonalUp="0" diagonalDown="0" outline="0">
        <left style="medium">
          <color theme="0"/>
        </left>
        <right style="medium">
          <color theme="0"/>
        </right>
        <top style="medium">
          <color theme="0"/>
        </top>
        <bottom style="medium">
          <color theme="0"/>
        </bottom>
      </border>
    </dxf>
    <dxf>
      <fill>
        <patternFill patternType="solid">
          <fgColor indexed="64"/>
          <bgColor rgb="FFFBDA82"/>
        </patternFill>
      </fill>
      <border diagonalUp="0" diagonalDown="0" outline="0">
        <left style="medium">
          <color theme="0"/>
        </left>
        <right style="medium">
          <color theme="0"/>
        </right>
        <top style="medium">
          <color theme="0"/>
        </top>
        <bottom style="medium">
          <color theme="0"/>
        </bottom>
      </border>
    </dxf>
    <dxf>
      <fill>
        <patternFill patternType="solid">
          <fgColor indexed="64"/>
          <bgColor rgb="FFFBDA82"/>
        </patternFill>
      </fill>
      <border diagonalUp="0" diagonalDown="0">
        <left style="medium">
          <color theme="0"/>
        </left>
        <right style="medium">
          <color theme="0"/>
        </right>
        <top style="medium">
          <color theme="0"/>
        </top>
        <bottom style="medium">
          <color theme="0"/>
        </bottom>
        <vertical/>
        <horizontal/>
      </border>
      <protection locked="0" hidden="0"/>
    </dxf>
    <dxf>
      <fill>
        <patternFill patternType="solid">
          <fgColor indexed="64"/>
          <bgColor rgb="FFFBDA82"/>
        </patternFill>
      </fill>
      <border diagonalUp="0" diagonalDown="0">
        <left style="medium">
          <color theme="0"/>
        </left>
        <right style="medium">
          <color theme="0"/>
        </right>
        <top style="medium">
          <color theme="0"/>
        </top>
        <bottom style="medium">
          <color theme="0"/>
        </bottom>
        <vertical/>
        <horizontal/>
      </border>
      <protection locked="0" hidden="0"/>
    </dxf>
    <dxf>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theme="9" tint="0.79998168889431442"/>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ont>
        <b val="0"/>
        <i val="0"/>
        <strike val="0"/>
        <condense val="0"/>
        <extend val="0"/>
        <outline val="0"/>
        <shadow val="0"/>
        <u val="none"/>
        <vertAlign val="baseline"/>
        <sz val="12"/>
        <color theme="1"/>
        <name val="Aptos Narrow"/>
        <family val="2"/>
        <scheme val="minor"/>
      </font>
      <fill>
        <patternFill patternType="solid">
          <fgColor indexed="64"/>
          <bgColor theme="9" tint="0.59999389629810485"/>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0" hidden="0"/>
    </dxf>
    <dxf>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theme="3" tint="0.749992370372631"/>
        </patternFill>
      </fill>
      <border diagonalUp="0" diagonalDown="0">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fgColor indexed="64"/>
          <bgColor theme="3" tint="0.749992370372631"/>
        </patternFill>
      </fill>
      <border diagonalUp="0" diagonalDown="0">
        <left/>
        <right style="medium">
          <color theme="0"/>
        </right>
        <top style="medium">
          <color theme="0"/>
        </top>
        <bottom style="medium">
          <color theme="0"/>
        </bottom>
        <vertical style="medium">
          <color theme="0"/>
        </vertical>
        <horizontal style="medium">
          <color theme="0"/>
        </horizontal>
      </border>
    </dxf>
    <dxf>
      <font>
        <b val="0"/>
        <i/>
        <strike val="0"/>
        <outline val="0"/>
        <shadow val="0"/>
        <u val="none"/>
        <vertAlign val="baseline"/>
        <sz val="16"/>
        <color theme="1"/>
        <name val="Aptos Narrow"/>
        <scheme val="minor"/>
      </font>
      <alignment horizontal="center" vertical="center" textRotation="0" wrapText="0" indent="0" justifyLastLine="0" shrinkToFit="0" readingOrder="0"/>
      <border diagonalUp="0" diagonalDown="0">
        <left style="medium">
          <color theme="0"/>
        </left>
        <right style="medium">
          <color theme="0"/>
        </right>
        <top/>
        <bottom/>
        <vertical style="medium">
          <color theme="0"/>
        </vertical>
        <horizontal style="medium">
          <color theme="0"/>
        </horizontal>
      </border>
    </dxf>
  </dxfs>
  <tableStyles count="0" defaultTableStyle="TableStyleMedium2" defaultPivotStyle="PivotStyleLight16"/>
  <colors>
    <mruColors>
      <color rgb="FFF7EFCF"/>
      <color rgb="FFFBDA82"/>
      <color rgb="FFF4E7F9"/>
      <color rgb="FF83A2C0"/>
      <color rgb="FFCBD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25400</xdr:colOff>
      <xdr:row>2</xdr:row>
      <xdr:rowOff>12700</xdr:rowOff>
    </xdr:from>
    <xdr:to>
      <xdr:col>5</xdr:col>
      <xdr:colOff>774700</xdr:colOff>
      <xdr:row>20</xdr:row>
      <xdr:rowOff>50800</xdr:rowOff>
    </xdr:to>
    <xdr:pic>
      <xdr:nvPicPr>
        <xdr:cNvPr id="3" name="Picture 2">
          <a:extLst>
            <a:ext uri="{FF2B5EF4-FFF2-40B4-BE49-F238E27FC236}">
              <a16:creationId xmlns:a16="http://schemas.microsoft.com/office/drawing/2014/main" id="{90693B72-6101-5F24-7853-D627E177B20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400" y="431800"/>
          <a:ext cx="5092700" cy="39751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508000</xdr:colOff>
          <xdr:row>28</xdr:row>
          <xdr:rowOff>12700</xdr:rowOff>
        </xdr:from>
        <xdr:to>
          <xdr:col>2</xdr:col>
          <xdr:colOff>4257040</xdr:colOff>
          <xdr:row>31</xdr:row>
          <xdr:rowOff>201386</xdr:rowOff>
        </xdr:to>
        <xdr:sp macro="" textlink="">
          <xdr:nvSpPr>
            <xdr:cNvPr id="2049" name="Reset Inputs" descr="Reset Inputs"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pitchFamily="2" charset="0"/>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73839</xdr:rowOff>
        </xdr:from>
        <xdr:to>
          <xdr:col>2</xdr:col>
          <xdr:colOff>0</xdr:colOff>
          <xdr:row>30</xdr:row>
          <xdr:rowOff>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6ABCC5BB-ACC1-0ECA-3351-76903F3247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Reset Inputs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39E1BA3-1AD2-3A41-AE76-CA6AC89AFB5A}" name="table_vendor_a" displayName="table_vendor_a" ref="B4:P24" totalsRowShown="0" headerRowDxfId="82">
  <autoFilter ref="B4:P24" xr:uid="{539E1BA3-1AD2-3A41-AE76-CA6AC89AFB5A}"/>
  <tableColumns count="15">
    <tableColumn id="1" xr3:uid="{011541A6-B114-1441-82F1-295D52644D0E}" name="Part_ID" dataDxfId="81"/>
    <tableColumn id="2" xr3:uid="{D85529B5-5C7E-9D4C-90E6-080BEC695E57}" name="Part_Name" dataDxfId="80"/>
    <tableColumn id="3" xr3:uid="{B1BD1187-C13B-F049-873D-3B6A08819265}" name="Category" dataDxfId="79"/>
    <tableColumn id="4" xr3:uid="{16440C5F-E089-454A-859C-117FDD32CBB9}" name="Subcategory" dataDxfId="78"/>
    <tableColumn id="5" xr3:uid="{F052DD19-8530-4C46-A674-E882D719ED4A}" name="Unit_Price" dataDxfId="77" dataCellStyle="Currency"/>
    <tableColumn id="16" xr3:uid="{6E132A70-CD12-0641-A727-54FA3A594839}" name="Weight_kg" dataDxfId="76"/>
    <tableColumn id="7" xr3:uid="{5D31B874-B039-C249-A963-5C9DEA839271}" name="Lead_Time_Days" dataDxfId="75"/>
    <tableColumn id="8" xr3:uid="{09FA93B7-B6F9-554A-92C6-9C53753EBA0F}" name="MOQ" dataDxfId="74"/>
    <tableColumn id="6" xr3:uid="{70FBA0BF-7B4C-004A-A30B-E282B4E7F0CC}" name="Quantity_In_Stock" dataDxfId="73"/>
    <tableColumn id="10" xr3:uid="{E43EDD99-C385-0649-9B67-63BE2E74D71F}" name="Quantity_Per_Product" dataDxfId="72"/>
    <tableColumn id="9" xr3:uid="{CF8D8656-5B19-FB42-88AC-742E99DB946E}" name="Preferred_Vendor" dataDxfId="71"/>
    <tableColumn id="11" xr3:uid="{BBC3A35C-91B7-2F4A-A3DC-35AFA1D28CC6}" name="Country_of_Origin" dataDxfId="70"/>
    <tableColumn id="12" xr3:uid="{36CEE576-66C5-9F4A-A1D1-9673B9172A8D}" name="Lifecycle_Status" dataDxfId="69"/>
    <tableColumn id="13" xr3:uid="{C21F578A-44ED-DA48-A406-ED113DF38EEC}" name="Supplier_SKU" dataDxfId="68"/>
    <tableColumn id="14" xr3:uid="{49468B93-3F14-1F47-BA28-E5199483258D}" name="Last_Price_Update" dataDxfId="67"/>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66B708-B7EE-2147-A1C3-E706CFD70A0F}" name="table_vendor_b" displayName="table_vendor_b" ref="B4:P22" totalsRowShown="0" headerRowDxfId="66">
  <autoFilter ref="B4:P22" xr:uid="{7266B708-B7EE-2147-A1C3-E706CFD70A0F}"/>
  <tableColumns count="15">
    <tableColumn id="1" xr3:uid="{67EE8BA0-8D12-6743-AC4A-F6BFDB51A088}" name="Part_ID" dataDxfId="65"/>
    <tableColumn id="2" xr3:uid="{BF1F5EAA-3662-5C4C-8F7F-154E60A364C3}" name="Part_Name" dataDxfId="64"/>
    <tableColumn id="3" xr3:uid="{906504FE-B8FF-3F4E-86DC-8A6A7ECDD523}" name="Category" dataDxfId="63"/>
    <tableColumn id="4" xr3:uid="{C455F8D0-E62C-A84E-A6BA-280177C0B3E6}" name="Subcategory" dataDxfId="62"/>
    <tableColumn id="5" xr3:uid="{82BD9587-87AC-B147-BBC3-E140E5DEF930}" name="Unit_Price" dataDxfId="61"/>
    <tableColumn id="6" xr3:uid="{BBA4538E-64FF-3B45-939F-F35B301390D0}" name="Weight_kg" dataDxfId="60"/>
    <tableColumn id="7" xr3:uid="{E8BA39E1-B58E-4842-B909-AA09B76E02E7}" name="Lead_Time_Days" dataDxfId="59"/>
    <tableColumn id="8" xr3:uid="{6597AF96-C85A-E34A-9B7B-1641929E908A}" name="MOQ" dataDxfId="58"/>
    <tableColumn id="14" xr3:uid="{BD8346D7-0447-864D-9A3D-44C2E1DA646C}" name="Quantity_In_Stock" dataDxfId="57"/>
    <tableColumn id="15" xr3:uid="{76CA4759-4165-394F-999D-58CF290819D5}" name="Quantity_Per_Product" dataDxfId="56"/>
    <tableColumn id="9" xr3:uid="{D42DFDD2-CC86-874F-BC12-E12758147B17}" name="Preferred_Vendor" dataDxfId="55"/>
    <tableColumn id="10" xr3:uid="{528D0517-B02B-D74F-826E-889B0D531965}" name="Country_of_Origin" dataDxfId="54"/>
    <tableColumn id="11" xr3:uid="{3A4842AC-08B2-0D4D-BCFE-F4C95EAF86CE}" name="Lifecycle_Status" dataDxfId="53"/>
    <tableColumn id="12" xr3:uid="{B741322B-449B-8A4C-B35D-4267846C5BF6}" name="Supplier_SKU" dataDxfId="52"/>
    <tableColumn id="13" xr3:uid="{230C0C06-D9F6-9E41-8620-65F54C69FCE5}" name="Last_Price_Update" dataDxfId="51"/>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8FD6E3-F4CE-0843-9FF9-C0888977912D}" name="table_vendor_c" displayName="table_vendor_c" ref="B4:P21" totalsRowShown="0" headerRowDxfId="50">
  <autoFilter ref="B4:P21" xr:uid="{3F8FD6E3-F4CE-0843-9FF9-C0888977912D}"/>
  <tableColumns count="15">
    <tableColumn id="1" xr3:uid="{A1F024CB-A2D5-0C48-B35C-376570B98031}" name="Part_ID" dataDxfId="49"/>
    <tableColumn id="2" xr3:uid="{0CCFA596-723E-0A4B-AF24-1B43A82F45F6}" name="Part_Name" dataDxfId="48"/>
    <tableColumn id="3" xr3:uid="{E21B11C2-6E0E-0441-A325-8A73C2434521}" name="Category" dataDxfId="47"/>
    <tableColumn id="4" xr3:uid="{85BCA210-E938-AF49-A743-C811DEE6A9CC}" name="Subcategory" dataDxfId="46"/>
    <tableColumn id="5" xr3:uid="{CEC3517C-7ADF-4E44-93A0-3793C4ED76E0}" name="Unit_Price" dataDxfId="45"/>
    <tableColumn id="6" xr3:uid="{CBCA4480-C10E-EE46-BDD7-73A6DCEFCF82}" name="Weight_kg" dataDxfId="44"/>
    <tableColumn id="7" xr3:uid="{4EE577EA-B693-3342-9D61-5881E13D672C}" name="Lead_Time_Days" dataDxfId="43"/>
    <tableColumn id="8" xr3:uid="{36800775-F619-DB4F-B09A-69D5A5BD9F71}" name="MOQ" dataDxfId="42"/>
    <tableColumn id="15" xr3:uid="{A0E62183-4D40-1249-978F-0DE02136C6E0}" name="Quantity_In_Stock" dataDxfId="41"/>
    <tableColumn id="14" xr3:uid="{D415B4A3-4F10-A241-A364-0EFDB4E7A461}" name="Quantity_Per_Product" dataDxfId="40"/>
    <tableColumn id="9" xr3:uid="{D8DE13D8-B749-574E-9300-A51DFE477150}" name="Preferred_Vendor" dataDxfId="39"/>
    <tableColumn id="10" xr3:uid="{EC77ADC3-549F-3A44-A8F9-B40798988811}" name="Country_of_Origin" dataDxfId="38"/>
    <tableColumn id="11" xr3:uid="{40A22033-88B0-D448-A19A-D708A7F45A8E}" name="Lifecycle_Status" dataDxfId="37"/>
    <tableColumn id="12" xr3:uid="{9550CD61-B7CB-3C4F-8FBA-87D49B239D94}" name="Supplier_SKU" dataDxfId="36"/>
    <tableColumn id="13" xr3:uid="{737BE395-6D5D-624F-A788-6566945120C4}" name="Last_Price_Update" dataDxfId="3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D5D044-ACFB-0D4C-9156-239DD7105038}" name="table_product_list" displayName="table_product_list" ref="G5:J48" totalsRowShown="0" headerRowDxfId="34" dataDxfId="33" tableBorderDxfId="32">
  <autoFilter ref="G5:J48" xr:uid="{9AD5D044-ACFB-0D4C-9156-239DD7105038}"/>
  <tableColumns count="4">
    <tableColumn id="1" xr3:uid="{4F741017-7276-A047-907F-A42C0ACB9DD1}" name="Product_ID" dataDxfId="31"/>
    <tableColumn id="2" xr3:uid="{4AA6E922-9C14-A645-BB36-81565A130F81}" name="Product_Name" dataDxfId="30"/>
    <tableColumn id="7" xr3:uid="{0B2B91E3-F79E-9940-9218-1993CA1966BB}" name="Part_ID" dataDxfId="29"/>
    <tableColumn id="3" xr3:uid="{F63E1745-0B6E-0547-985E-C0D640E3818A}" name="On-Hand Quantity" dataDxfId="28"/>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273DFB-51AE-1D46-B832-AA058DB41A3E}" name="table_BOM" displayName="table_BOM" ref="B7:J14" totalsRowShown="0" headerRowDxfId="27" dataDxfId="25" headerRowBorderDxfId="26" tableBorderDxfId="24" totalsRowBorderDxfId="23">
  <autoFilter ref="B7:J14" xr:uid="{0F273DFB-51AE-1D46-B832-AA058DB41A3E}"/>
  <tableColumns count="9">
    <tableColumn id="1" xr3:uid="{FE8E19DE-1FA2-1D4D-B627-D641AB54338E}" name="Part_ID" dataDxfId="22"/>
    <tableColumn id="2" xr3:uid="{774A8EA7-EBD7-8F4C-8932-D19FCA80FD42}" name="Part_Name" dataDxfId="21">
      <calculatedColumnFormula>IF(OR(table_BOM[[#This Row],[Part_ID]]="",table_BOM[[#This Row],[Vendor]]="Not Found"),"",_xlfn.LET(_xlpm.Src,table_BOM[[#This Row],[Vendor]],_xlpm.Name,_xlfn.SWITCH(_xlpm.Src,"Vendor_A",_xlfn.XLOOKUP(table_BOM[[#This Row],[Part_ID]],table_vendor_a[Part_ID],table_vendor_a[Part_Name],""),"Vendor_B",_xlfn.XLOOKUP(table_BOM[[#This Row],[Part_ID]],table_vendor_b[Part_ID],table_vendor_b[Part_Name],""),"Vendor_C",_xlfn.XLOOKUP(table_BOM[[#This Row],[Part_ID]],table_vendor_c[Part_ID],table_vendor_c[Part_Name],""),""),IF(_xlpm.Name="","Not Found",_xlpm.Name)))</calculatedColumnFormula>
    </tableColumn>
    <tableColumn id="3" xr3:uid="{A683CB2E-420F-9645-9F3A-176CAF1292EB}" name="Vendor" dataDxfId="20">
      <calculatedColumnFormula>IF(table_BOM[[#This Row],[Part_ID]]="","",_xlfn.LET(_xlpm.inA,ISNUMBER(MATCH(table_BOM[[#This Row],[Part_ID]],table_vendor_a[Part_ID],0)),_xlpm.inB,ISNUMBER(MATCH(table_BOM[[#This Row],[Part_ID]],table_vendor_b[Part_ID],0)),_xlpm.inC,ISNUMBER(MATCH(table_BOM[[#This Row],[Part_ID]],table_vendor_c[Part_ID],0)),_xlfn.SWITCH(TRUE,_xlpm.inA,"Vendor_A",_xlpm.inB,"Vendor_B",_xlpm.inC,"Vendor_C","Not Found")))</calculatedColumnFormula>
    </tableColumn>
    <tableColumn id="4" xr3:uid="{F3EE5C3B-5492-4F4A-B71D-F3A5BE7E654E}" name="Quantity_Per_Unit" dataDxfId="19"/>
    <tableColumn id="5" xr3:uid="{E13FBEAC-E6D8-9C47-9FDD-2B5BDEBC46FF}" name="Total_Quantity" dataDxfId="18">
      <calculatedColumnFormula>IF(table_BOM[[#This Row],[Part_ID]]="","",table_BOM[[#This Row],[Quantity_Per_Unit]]*Product_BOM!$D$4)</calculatedColumnFormula>
    </tableColumn>
    <tableColumn id="6" xr3:uid="{A1D4554A-2BD7-654E-AB5D-0398E950832F}" name="Unit_Price" dataDxfId="17" dataCellStyle="Currency">
      <calculatedColumnFormula>IF(OR(table_BOM[[#This Row],[Part_ID]]="",table_BOM[[#This Row],[Vendor]]="Not Found"),"",_xlfn.LET(_xlpm.Src,table_BOM[[#This Row],[Vendor]],_xlpm.Price,_xlfn.SWITCH(_xlpm.Src,"Vendor_A",_xlfn.XLOOKUP(table_BOM[[#This Row],[Part_ID]],table_vendor_a[Part_ID],table_vendor_a[Unit_Price],0),"Vendor_B",_xlfn.XLOOKUP(table_BOM[[#This Row],[Part_ID]],table_vendor_b[Part_ID],table_vendor_b[Unit_Price],0),"Vendor_C",_xlfn.XLOOKUP(table_BOM[[#This Row],[Part_ID]],table_vendor_c[Part_ID],table_vendor_c[Unit_Price],0),0),IF(_xlpm.Price=0,"Price Missing",_xlpm.Price)))</calculatedColumnFormula>
    </tableColumn>
    <tableColumn id="7" xr3:uid="{8C78AC3B-B734-5645-AA88-191D4DCB9A40}" name="Total_Cost" dataDxfId="16" dataCellStyle="Currency">
      <calculatedColumnFormula>IF(OR(table_BOM[[#This Row],[Part_ID]]="", NOT(ISNUMBER(table_BOM[[#This Row],[Unit_Price]]))), "", table_BOM[[#This Row],[Total_Quantity]]*table_BOM[[#This Row],[Unit_Price]])</calculatedColumnFormula>
    </tableColumn>
    <tableColumn id="8" xr3:uid="{08BC7464-CC7B-804B-9726-66F47B774839}" name="Quantity_In_Stock" dataDxfId="3">
      <calculatedColumnFormula>IF(OR(table_BOM[[#This Row],[Part_ID]]="",table_BOM[[#This Row],[Vendor]]="Not Found"),0,IFERROR(_xlfn.XLOOKUP(table_BOM[[#This Row],[Part_ID]],INDIRECT("table_"&amp;LOWER(table_BOM[[#This Row],[Vendor]])&amp;"[Part_ID]"),INDIRECT("table_"&amp;LOWER(table_BOM[[#This Row],[Vendor]])&amp;"[Quantity_In_Stock]")),0))</calculatedColumnFormula>
    </tableColumn>
    <tableColumn id="9" xr3:uid="{9BF1650D-E52D-2E42-8E10-7657AEAF7B1D}" name="Quantity_Per_Product" dataDxfId="2">
      <calculatedColumnFormula>IF(OR(table_BOM[[#This Row],[Part_ID]]="",table_BOM[[#This Row],[Vendor]]="Not Found"),0,IFERROR(_xlfn.XLOOKUP(table_BOM[[#This Row],[Part_ID]],INDIRECT("table_"&amp;LOWER(table_BOM[[#This Row],[Vendor]])&amp;"[Part_ID]"),INDIRECT("table_"&amp;LOWER(table_BOM[[#This Row],[Vendor]])&amp;"[Quantity_Per_Product]")),0))</calculatedColumnFormula>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BD45BA-8BD8-DC42-B94D-ADA354A0BA94}" name="table_explicit_items" displayName="table_explicit_items" ref="B19:J26" totalsRowShown="0" headerRowDxfId="15" dataDxfId="14" tableBorderDxfId="13">
  <autoFilter ref="B19:J26" xr:uid="{80BD45BA-8BD8-DC42-B94D-ADA354A0BA94}"/>
  <tableColumns count="9">
    <tableColumn id="1" xr3:uid="{D2FD3840-16F7-BB44-A8F9-396F7180C038}" name="Part_ID" dataDxfId="12"/>
    <tableColumn id="2" xr3:uid="{64C9D3D2-4D53-224F-9FDE-D2EB9095707F}" name="Part_Name" dataDxfId="11">
      <calculatedColumnFormula>IF(OR(table_explicit_items[[#This Row],[Part_ID]]="",table_explicit_items[[#This Row],[Vendor]]="Not Found"),"",_xlfn.LET(_xlpm.Src,table_explicit_items[[#This Row],[Vendor]],_xlpm.Name,_xlfn.SWITCH(_xlpm.Src,"Vendor_A",_xlfn.XLOOKUP(table_explicit_items[[#This Row],[Part_ID]],table_vendor_a[Part_ID],table_vendor_a[Part_Name],""),"Vendor_B",_xlfn.XLOOKUP(table_explicit_items[[#This Row],[Part_ID]],table_vendor_b[Part_ID],table_vendor_b[Part_Name],""),"Vendor_C",_xlfn.XLOOKUP(table_explicit_items[[#This Row],[Part_ID]],table_vendor_c[Part_ID],table_vendor_c[Part_Name],""),""),IF(_xlpm.Name="","Not Found",_xlpm.Name)))</calculatedColumnFormula>
    </tableColumn>
    <tableColumn id="3" xr3:uid="{818B7295-5920-2242-B3B2-55BEC813752C}" name="Vendor" dataDxfId="10">
      <calculatedColumnFormula>IF(table_explicit_items[[#This Row],[Part_ID]]="","",_xlfn.LET(_xlpm.inA,ISNUMBER(MATCH(table_explicit_items[[#This Row],[Part_ID]],table_vendor_a[Part_ID],0)),_xlpm.inB,ISNUMBER(MATCH(table_explicit_items[[#This Row],[Part_ID]],table_vendor_b[Part_ID],0)),_xlpm.inC,ISNUMBER(MATCH(table_explicit_items[[#This Row],[Part_ID]],table_vendor_c[Part_ID],0)),_xlfn.SWITCH(TRUE,_xlpm.inA,"Vendor_A",_xlpm.inB,"Vendor_B",_xlpm.inC,"Vendor_C","Not Found")))</calculatedColumnFormula>
    </tableColumn>
    <tableColumn id="4" xr3:uid="{E1AC12F5-2F82-4E46-A8E7-60EE1C09BFD5}" name="Quantity_Per_Unit" dataDxfId="9"/>
    <tableColumn id="5" xr3:uid="{C19A039C-818A-0D4F-9FA3-CD6F53F8F338}" name="Total_Quantity" dataDxfId="8">
      <calculatedColumnFormula>IF(table_explicit_items[[#This Row],[Part_ID]]="","",table_explicit_items[[#This Row],[Quantity_Per_Unit]]*Product_BOM!$D$4)</calculatedColumnFormula>
    </tableColumn>
    <tableColumn id="6" xr3:uid="{E5E83491-C9D9-3F40-A211-D812E460E5C0}" name="Unit_Price" dataDxfId="7" dataCellStyle="Currency">
      <calculatedColumnFormula>IF(OR(table_explicit_items[[#This Row],[Part_ID]]="",table_explicit_items[[#This Row],[Vendor]]="Not Found"),"",_xlfn.LET(_xlpm.Src,table_explicit_items[[#This Row],[Vendor]],_xlpm.Price,_xlfn.SWITCH(_xlpm.Src,"Vendor_A",_xlfn.XLOOKUP(table_explicit_items[[#This Row],[Part_ID]],table_vendor_a[Part_ID],table_vendor_a[Unit_Price],0),"Vendor_B",_xlfn.XLOOKUP(table_explicit_items[[#This Row],[Part_ID]],table_vendor_b[Part_ID],table_vendor_b[Unit_Price],0),"Vendor_C",_xlfn.XLOOKUP(table_explicit_items[[#This Row],[Part_ID]],table_vendor_c[Part_ID],table_vendor_c[Unit_Price],0),0),IF(_xlpm.Price=0,"Price Missing",_xlpm.Price)))</calculatedColumnFormula>
    </tableColumn>
    <tableColumn id="7" xr3:uid="{2AC7F293-C38B-E440-92BB-D23FA9128300}" name="Total_Cost" dataDxfId="6" dataCellStyle="Currency">
      <calculatedColumnFormula>IF(OR(table_explicit_items[[#This Row],[Part_ID]]="", NOT(ISNUMBER(table_explicit_items[[#This Row],[Unit_Price]]))), "", table_explicit_items[[#This Row],[Total_Quantity]]*table_explicit_items[[#This Row],[Unit_Price]])</calculatedColumnFormula>
    </tableColumn>
    <tableColumn id="8" xr3:uid="{4EFBF532-851F-7445-915D-3EC761F02426}" name="Quantity_In_Stock" dataDxfId="5">
      <calculatedColumnFormula>IF(OR(table_explicit_items[[#This Row],[Part_ID]]="",table_explicit_items[[#This Row],[Vendor]]="Not Found"),0,IFERROR(_xlfn.XLOOKUP(table_explicit_items[[#This Row],[Part_ID]],INDIRECT("table_"&amp;LOWER(table_explicit_items[[#This Row],[Vendor]])&amp;"[Part_ID]"),INDIRECT("table_"&amp;LOWER(table_explicit_items[[#This Row],[Vendor]])&amp;"[Quantity_In_Stock]")),0))</calculatedColumnFormula>
    </tableColumn>
    <tableColumn id="9" xr3:uid="{F42776D2-284C-A54E-AE1A-DCCBFE4D9586}" name="Quantity_Per_Product" dataDxfId="4">
      <calculatedColumnFormula>IF(OR(table_explicit_items[[#This Row],[Part_ID]]="",table_explicit_items[[#This Row],[Vendor]]="Not Found"),0,IFERROR(_xlfn.XLOOKUP(table_explicit_items[[#This Row],[Part_ID]],INDIRECT("table_"&amp;LOWER(table_explicit_items[[#This Row],[Vendor]])&amp;"[Part_ID]"),INDIRECT("table_"&amp;LOWER(table_explicit_items[[#This Row],[Vendor]])&amp;"[Quantity_Per_Product]")),0))</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7EFE4-06A4-6B47-B871-4DFFCC8C6B3F}">
  <sheetPr codeName="Sheet1"/>
  <dimension ref="A2:S50"/>
  <sheetViews>
    <sheetView showGridLines="0" tabSelected="1" workbookViewId="0">
      <selection activeCell="Q11" sqref="Q11"/>
    </sheetView>
  </sheetViews>
  <sheetFormatPr baseColWidth="10" defaultRowHeight="16"/>
  <sheetData>
    <row r="2" spans="1:19" ht="16" customHeight="1">
      <c r="A2" s="100" t="s">
        <v>268</v>
      </c>
      <c r="B2" s="100"/>
      <c r="C2" s="100"/>
      <c r="D2" s="100"/>
      <c r="E2" s="100"/>
      <c r="F2" s="100"/>
      <c r="G2" s="100"/>
      <c r="H2" s="100"/>
      <c r="I2" s="100"/>
      <c r="J2" s="100"/>
      <c r="K2" s="100"/>
      <c r="L2" s="100"/>
      <c r="M2" s="100"/>
      <c r="N2" s="100"/>
      <c r="O2" s="100"/>
      <c r="P2" s="101"/>
      <c r="Q2" s="101"/>
      <c r="R2" s="101"/>
    </row>
    <row r="3" spans="1:19" ht="16" customHeight="1">
      <c r="A3" s="100"/>
      <c r="B3" s="100"/>
      <c r="C3" s="100"/>
      <c r="D3" s="100"/>
      <c r="E3" s="100"/>
      <c r="F3" s="100"/>
      <c r="G3" s="100"/>
      <c r="H3" s="100"/>
      <c r="I3" s="100"/>
      <c r="J3" s="100"/>
      <c r="K3" s="100"/>
      <c r="L3" s="100"/>
      <c r="M3" s="100"/>
      <c r="N3" s="100"/>
      <c r="O3" s="100"/>
      <c r="P3" s="101"/>
      <c r="Q3" s="101"/>
      <c r="R3" s="101"/>
    </row>
    <row r="4" spans="1:19" ht="16" customHeight="1">
      <c r="A4" s="100"/>
      <c r="B4" s="100"/>
      <c r="C4" s="100"/>
      <c r="D4" s="100"/>
      <c r="E4" s="100"/>
      <c r="F4" s="100"/>
      <c r="G4" s="100"/>
      <c r="H4" s="100"/>
      <c r="I4" s="100"/>
      <c r="J4" s="100"/>
      <c r="K4" s="100"/>
      <c r="L4" s="100"/>
      <c r="M4" s="100"/>
      <c r="N4" s="100"/>
      <c r="O4" s="100"/>
      <c r="P4" s="101"/>
      <c r="Q4" s="101"/>
      <c r="R4" s="101"/>
    </row>
    <row r="6" spans="1:19" ht="22">
      <c r="A6" s="104" t="s">
        <v>269</v>
      </c>
      <c r="B6" s="104"/>
      <c r="C6" s="104"/>
      <c r="D6" s="105"/>
      <c r="E6" s="106" t="s">
        <v>271</v>
      </c>
      <c r="F6" s="106"/>
      <c r="G6" s="106"/>
      <c r="H6" s="105"/>
      <c r="I6" s="106" t="s">
        <v>273</v>
      </c>
      <c r="J6" s="106"/>
      <c r="K6" s="106"/>
      <c r="L6" s="105"/>
      <c r="M6" s="104" t="s">
        <v>275</v>
      </c>
      <c r="N6" s="104"/>
      <c r="O6" s="104"/>
      <c r="Q6" s="99"/>
      <c r="R6" s="99"/>
      <c r="S6" s="99"/>
    </row>
    <row r="7" spans="1:19" ht="22">
      <c r="A7" s="104"/>
      <c r="B7" s="104"/>
      <c r="C7" s="104"/>
      <c r="D7" s="105"/>
      <c r="E7" s="106"/>
      <c r="F7" s="106"/>
      <c r="G7" s="106"/>
      <c r="H7" s="105"/>
      <c r="I7" s="106"/>
      <c r="J7" s="106"/>
      <c r="K7" s="106"/>
      <c r="L7" s="105"/>
      <c r="M7" s="104"/>
      <c r="N7" s="104"/>
      <c r="O7" s="104"/>
      <c r="Q7" s="99"/>
      <c r="R7" s="99"/>
      <c r="S7" s="99"/>
    </row>
    <row r="9" spans="1:19" ht="16" customHeight="1">
      <c r="A9" s="102" t="s">
        <v>270</v>
      </c>
      <c r="B9" s="102"/>
      <c r="C9" s="102"/>
      <c r="D9" s="103"/>
      <c r="E9" s="102" t="s">
        <v>272</v>
      </c>
      <c r="F9" s="102"/>
      <c r="G9" s="102"/>
      <c r="H9" s="103"/>
      <c r="I9" s="102" t="s">
        <v>274</v>
      </c>
      <c r="J9" s="102"/>
      <c r="K9" s="102"/>
      <c r="L9" s="103"/>
      <c r="M9" s="102" t="s">
        <v>276</v>
      </c>
      <c r="N9" s="102"/>
      <c r="O9" s="102"/>
    </row>
    <row r="10" spans="1:19">
      <c r="A10" s="102"/>
      <c r="B10" s="102"/>
      <c r="C10" s="102"/>
      <c r="D10" s="103"/>
      <c r="E10" s="102"/>
      <c r="F10" s="102"/>
      <c r="G10" s="102"/>
      <c r="H10" s="103"/>
      <c r="I10" s="102"/>
      <c r="J10" s="102"/>
      <c r="K10" s="102"/>
      <c r="L10" s="103"/>
      <c r="M10" s="102"/>
      <c r="N10" s="102"/>
      <c r="O10" s="102"/>
    </row>
    <row r="11" spans="1:19">
      <c r="A11" s="102"/>
      <c r="B11" s="102"/>
      <c r="C11" s="102"/>
      <c r="D11" s="103"/>
      <c r="E11" s="102"/>
      <c r="F11" s="102"/>
      <c r="G11" s="102"/>
      <c r="H11" s="103"/>
      <c r="I11" s="102"/>
      <c r="J11" s="102"/>
      <c r="K11" s="102"/>
      <c r="L11" s="103"/>
      <c r="M11" s="102"/>
      <c r="N11" s="102"/>
      <c r="O11" s="102"/>
    </row>
    <row r="12" spans="1:19">
      <c r="A12" s="102"/>
      <c r="B12" s="102"/>
      <c r="C12" s="102"/>
      <c r="D12" s="103"/>
      <c r="E12" s="102"/>
      <c r="F12" s="102"/>
      <c r="G12" s="102"/>
      <c r="H12" s="103"/>
      <c r="I12" s="102"/>
      <c r="J12" s="102"/>
      <c r="K12" s="102"/>
      <c r="L12" s="103"/>
      <c r="M12" s="102"/>
      <c r="N12" s="102"/>
      <c r="O12" s="102"/>
    </row>
    <row r="13" spans="1:19">
      <c r="A13" s="102"/>
      <c r="B13" s="102"/>
      <c r="C13" s="102"/>
      <c r="D13" s="103"/>
      <c r="E13" s="102"/>
      <c r="F13" s="102"/>
      <c r="G13" s="102"/>
      <c r="H13" s="103"/>
      <c r="I13" s="102"/>
      <c r="J13" s="102"/>
      <c r="K13" s="102"/>
      <c r="L13" s="103"/>
      <c r="M13" s="102"/>
      <c r="N13" s="102"/>
      <c r="O13" s="102"/>
    </row>
    <row r="14" spans="1:19">
      <c r="A14" s="102"/>
      <c r="B14" s="102"/>
      <c r="C14" s="102"/>
      <c r="D14" s="103"/>
      <c r="E14" s="102"/>
      <c r="F14" s="102"/>
      <c r="G14" s="102"/>
      <c r="H14" s="103"/>
      <c r="I14" s="102"/>
      <c r="J14" s="102"/>
      <c r="K14" s="102"/>
      <c r="L14" s="103"/>
      <c r="M14" s="102"/>
      <c r="N14" s="102"/>
      <c r="O14" s="102"/>
    </row>
    <row r="15" spans="1:19">
      <c r="A15" s="102"/>
      <c r="B15" s="102"/>
      <c r="C15" s="102"/>
      <c r="D15" s="103"/>
      <c r="E15" s="102"/>
      <c r="F15" s="102"/>
      <c r="G15" s="102"/>
      <c r="H15" s="103"/>
      <c r="I15" s="102"/>
      <c r="J15" s="102"/>
      <c r="K15" s="102"/>
      <c r="L15" s="103"/>
      <c r="M15" s="102"/>
      <c r="N15" s="102"/>
      <c r="O15" s="102"/>
    </row>
    <row r="16" spans="1:19">
      <c r="A16" s="102"/>
      <c r="B16" s="102"/>
      <c r="C16" s="102"/>
      <c r="D16" s="103"/>
      <c r="E16" s="102"/>
      <c r="F16" s="102"/>
      <c r="G16" s="102"/>
      <c r="H16" s="103"/>
      <c r="I16" s="102"/>
      <c r="J16" s="102"/>
      <c r="K16" s="102"/>
      <c r="L16" s="103"/>
      <c r="M16" s="102"/>
      <c r="N16" s="102"/>
      <c r="O16" s="102"/>
    </row>
    <row r="17" spans="1:15">
      <c r="A17" s="102"/>
      <c r="B17" s="102"/>
      <c r="C17" s="102"/>
      <c r="D17" s="103"/>
      <c r="E17" s="102"/>
      <c r="F17" s="102"/>
      <c r="G17" s="102"/>
      <c r="H17" s="103"/>
      <c r="I17" s="102"/>
      <c r="J17" s="102"/>
      <c r="K17" s="102"/>
      <c r="L17" s="103"/>
      <c r="M17" s="102"/>
      <c r="N17" s="102"/>
      <c r="O17" s="102"/>
    </row>
    <row r="18" spans="1:15">
      <c r="A18" s="102"/>
      <c r="B18" s="102"/>
      <c r="C18" s="102"/>
      <c r="D18" s="103"/>
      <c r="E18" s="102"/>
      <c r="F18" s="102"/>
      <c r="G18" s="102"/>
      <c r="H18" s="103"/>
      <c r="I18" s="102"/>
      <c r="J18" s="102"/>
      <c r="K18" s="102"/>
      <c r="L18" s="103"/>
      <c r="M18" s="102"/>
      <c r="N18" s="102"/>
      <c r="O18" s="102"/>
    </row>
    <row r="19" spans="1:15">
      <c r="A19" s="102"/>
      <c r="B19" s="102"/>
      <c r="C19" s="102"/>
      <c r="D19" s="103"/>
      <c r="E19" s="102"/>
      <c r="F19" s="102"/>
      <c r="G19" s="102"/>
      <c r="H19" s="103"/>
      <c r="I19" s="102"/>
      <c r="J19" s="102"/>
      <c r="K19" s="102"/>
      <c r="L19" s="103"/>
      <c r="M19" s="102"/>
      <c r="N19" s="102"/>
      <c r="O19" s="102"/>
    </row>
    <row r="20" spans="1:15">
      <c r="A20" s="102"/>
      <c r="B20" s="102"/>
      <c r="C20" s="102"/>
      <c r="D20" s="103"/>
      <c r="E20" s="102"/>
      <c r="F20" s="102"/>
      <c r="G20" s="102"/>
      <c r="H20" s="103"/>
      <c r="I20" s="102"/>
      <c r="J20" s="102"/>
      <c r="K20" s="102"/>
      <c r="L20" s="103"/>
      <c r="M20" s="102"/>
      <c r="N20" s="102"/>
      <c r="O20" s="102"/>
    </row>
    <row r="21" spans="1:15">
      <c r="A21" s="102"/>
      <c r="B21" s="102"/>
      <c r="C21" s="102"/>
      <c r="D21" s="103"/>
      <c r="E21" s="102"/>
      <c r="F21" s="102"/>
      <c r="G21" s="102"/>
      <c r="H21" s="103"/>
      <c r="I21" s="102"/>
      <c r="J21" s="102"/>
      <c r="K21" s="102"/>
      <c r="L21" s="103"/>
      <c r="M21" s="102"/>
      <c r="N21" s="102"/>
      <c r="O21" s="102"/>
    </row>
    <row r="22" spans="1:15">
      <c r="A22" s="102"/>
      <c r="B22" s="102"/>
      <c r="C22" s="102"/>
      <c r="D22" s="103"/>
      <c r="E22" s="102"/>
      <c r="F22" s="102"/>
      <c r="G22" s="102"/>
      <c r="H22" s="103"/>
      <c r="I22" s="102"/>
      <c r="J22" s="102"/>
      <c r="K22" s="102"/>
      <c r="L22" s="103"/>
      <c r="M22" s="102"/>
      <c r="N22" s="102"/>
      <c r="O22" s="102"/>
    </row>
    <row r="23" spans="1:15">
      <c r="A23" s="102"/>
      <c r="B23" s="102"/>
      <c r="C23" s="102"/>
      <c r="D23" s="103"/>
      <c r="E23" s="102"/>
      <c r="F23" s="102"/>
      <c r="G23" s="102"/>
      <c r="H23" s="103"/>
      <c r="I23" s="102"/>
      <c r="J23" s="102"/>
      <c r="K23" s="102"/>
      <c r="L23" s="103"/>
      <c r="M23" s="102"/>
      <c r="N23" s="102"/>
      <c r="O23" s="102"/>
    </row>
    <row r="24" spans="1:15">
      <c r="A24" s="102"/>
      <c r="B24" s="102"/>
      <c r="C24" s="102"/>
      <c r="D24" s="103"/>
      <c r="E24" s="102"/>
      <c r="F24" s="102"/>
      <c r="G24" s="102"/>
      <c r="H24" s="103"/>
      <c r="I24" s="102"/>
      <c r="J24" s="102"/>
      <c r="K24" s="102"/>
      <c r="L24" s="103"/>
      <c r="M24" s="102"/>
      <c r="N24" s="102"/>
      <c r="O24" s="102"/>
    </row>
    <row r="25" spans="1:15">
      <c r="A25" s="102"/>
      <c r="B25" s="102"/>
      <c r="C25" s="102"/>
      <c r="D25" s="103"/>
      <c r="E25" s="102"/>
      <c r="F25" s="102"/>
      <c r="G25" s="102"/>
      <c r="H25" s="103"/>
      <c r="I25" s="102"/>
      <c r="J25" s="102"/>
      <c r="K25" s="102"/>
      <c r="L25" s="103"/>
      <c r="M25" s="102"/>
      <c r="N25" s="102"/>
      <c r="O25" s="102"/>
    </row>
    <row r="26" spans="1:15">
      <c r="A26" s="102"/>
      <c r="B26" s="102"/>
      <c r="C26" s="102"/>
      <c r="D26" s="103"/>
      <c r="E26" s="102"/>
      <c r="F26" s="102"/>
      <c r="G26" s="102"/>
      <c r="H26" s="103"/>
      <c r="I26" s="102"/>
      <c r="J26" s="102"/>
      <c r="K26" s="102"/>
      <c r="L26" s="103"/>
      <c r="M26" s="102"/>
      <c r="N26" s="102"/>
      <c r="O26" s="102"/>
    </row>
    <row r="27" spans="1:15">
      <c r="A27" s="102"/>
      <c r="B27" s="102"/>
      <c r="C27" s="102"/>
      <c r="D27" s="103"/>
      <c r="E27" s="102"/>
      <c r="F27" s="102"/>
      <c r="G27" s="102"/>
      <c r="H27" s="103"/>
      <c r="I27" s="102"/>
      <c r="J27" s="102"/>
      <c r="K27" s="102"/>
      <c r="L27" s="103"/>
      <c r="M27" s="102"/>
      <c r="N27" s="102"/>
      <c r="O27" s="102"/>
    </row>
    <row r="28" spans="1:15">
      <c r="A28" s="102"/>
      <c r="B28" s="102"/>
      <c r="C28" s="102"/>
      <c r="D28" s="103"/>
      <c r="E28" s="102"/>
      <c r="F28" s="102"/>
      <c r="G28" s="102"/>
      <c r="H28" s="103"/>
      <c r="I28" s="102"/>
      <c r="J28" s="102"/>
      <c r="K28" s="102"/>
      <c r="L28" s="103"/>
      <c r="M28" s="102"/>
      <c r="N28" s="102"/>
      <c r="O28" s="102"/>
    </row>
    <row r="29" spans="1:15">
      <c r="A29" s="102"/>
      <c r="B29" s="102"/>
      <c r="C29" s="102"/>
      <c r="D29" s="103"/>
      <c r="E29" s="102"/>
      <c r="F29" s="102"/>
      <c r="G29" s="102"/>
      <c r="H29" s="103"/>
      <c r="I29" s="102"/>
      <c r="J29" s="102"/>
      <c r="K29" s="102"/>
      <c r="L29" s="103"/>
      <c r="M29" s="102"/>
      <c r="N29" s="102"/>
      <c r="O29" s="102"/>
    </row>
    <row r="30" spans="1:15">
      <c r="A30" s="102"/>
      <c r="B30" s="102"/>
      <c r="C30" s="102"/>
      <c r="D30" s="103"/>
      <c r="E30" s="102"/>
      <c r="F30" s="102"/>
      <c r="G30" s="102"/>
      <c r="H30" s="103"/>
      <c r="I30" s="102"/>
      <c r="J30" s="102"/>
      <c r="K30" s="102"/>
      <c r="L30" s="103"/>
      <c r="M30" s="102"/>
      <c r="N30" s="102"/>
      <c r="O30" s="102"/>
    </row>
    <row r="31" spans="1:15">
      <c r="A31" s="103"/>
      <c r="B31" s="103"/>
      <c r="C31" s="103"/>
      <c r="D31" s="103"/>
      <c r="E31" s="103"/>
      <c r="F31" s="103"/>
      <c r="G31" s="103"/>
      <c r="H31" s="103"/>
      <c r="I31" s="103"/>
      <c r="J31" s="103"/>
      <c r="K31" s="103"/>
      <c r="L31" s="103"/>
      <c r="M31" s="102"/>
      <c r="N31" s="102"/>
      <c r="O31" s="102"/>
    </row>
    <row r="32" spans="1:15">
      <c r="A32" s="103"/>
      <c r="B32" s="103"/>
      <c r="C32" s="103"/>
      <c r="D32" s="103"/>
      <c r="E32" s="103"/>
      <c r="F32" s="103"/>
      <c r="G32" s="103"/>
      <c r="H32" s="103"/>
      <c r="I32" s="103"/>
      <c r="J32" s="103"/>
      <c r="K32" s="103"/>
      <c r="L32" s="103"/>
      <c r="M32" s="102"/>
      <c r="N32" s="102"/>
      <c r="O32" s="102"/>
    </row>
    <row r="33" spans="1:15">
      <c r="A33" s="103"/>
      <c r="B33" s="103"/>
      <c r="C33" s="103"/>
      <c r="D33" s="103"/>
      <c r="E33" s="103"/>
      <c r="F33" s="103"/>
      <c r="G33" s="103"/>
      <c r="H33" s="103"/>
      <c r="I33" s="103"/>
      <c r="J33" s="103"/>
      <c r="K33" s="103"/>
      <c r="L33" s="103"/>
      <c r="M33" s="102"/>
      <c r="N33" s="102"/>
      <c r="O33" s="102"/>
    </row>
    <row r="34" spans="1:15">
      <c r="A34" s="103"/>
      <c r="B34" s="103"/>
      <c r="C34" s="103"/>
      <c r="D34" s="103"/>
      <c r="E34" s="103"/>
      <c r="F34" s="103"/>
      <c r="G34" s="103"/>
      <c r="H34" s="103"/>
      <c r="I34" s="103"/>
      <c r="J34" s="103"/>
      <c r="K34" s="103"/>
      <c r="L34" s="103"/>
      <c r="M34" s="102"/>
      <c r="N34" s="102"/>
      <c r="O34" s="102"/>
    </row>
    <row r="35" spans="1:15">
      <c r="A35" s="103"/>
      <c r="B35" s="103"/>
      <c r="C35" s="103"/>
      <c r="D35" s="103"/>
      <c r="E35" s="103"/>
      <c r="F35" s="103"/>
      <c r="G35" s="103"/>
      <c r="H35" s="103"/>
      <c r="I35" s="103"/>
      <c r="J35" s="103"/>
      <c r="K35" s="103"/>
      <c r="L35" s="103"/>
      <c r="M35" s="102"/>
      <c r="N35" s="102"/>
      <c r="O35" s="102"/>
    </row>
    <row r="36" spans="1:15">
      <c r="A36" s="103"/>
      <c r="B36" s="103"/>
      <c r="C36" s="103"/>
      <c r="D36" s="103"/>
      <c r="E36" s="103"/>
      <c r="F36" s="103"/>
      <c r="G36" s="103"/>
      <c r="H36" s="103"/>
      <c r="I36" s="103"/>
      <c r="J36" s="103"/>
      <c r="K36" s="103"/>
      <c r="L36" s="103"/>
      <c r="M36" s="102"/>
      <c r="N36" s="102"/>
      <c r="O36" s="102"/>
    </row>
    <row r="37" spans="1:15">
      <c r="A37" s="103"/>
      <c r="B37" s="103"/>
      <c r="C37" s="103"/>
      <c r="D37" s="103"/>
      <c r="E37" s="103"/>
      <c r="F37" s="103"/>
      <c r="G37" s="103"/>
      <c r="H37" s="103"/>
      <c r="I37" s="103"/>
      <c r="J37" s="103"/>
      <c r="K37" s="103"/>
      <c r="L37" s="103"/>
      <c r="M37" s="102"/>
      <c r="N37" s="102"/>
      <c r="O37" s="102"/>
    </row>
    <row r="38" spans="1:15">
      <c r="A38" s="103"/>
      <c r="B38" s="103"/>
      <c r="C38" s="103"/>
      <c r="D38" s="103"/>
      <c r="E38" s="103"/>
      <c r="F38" s="103"/>
      <c r="G38" s="103"/>
      <c r="H38" s="103"/>
      <c r="I38" s="103"/>
      <c r="J38" s="103"/>
      <c r="K38" s="103"/>
      <c r="L38" s="103"/>
      <c r="M38" s="102"/>
      <c r="N38" s="102"/>
      <c r="O38" s="102"/>
    </row>
    <row r="39" spans="1:15">
      <c r="A39" s="103"/>
      <c r="B39" s="103"/>
      <c r="C39" s="103"/>
      <c r="D39" s="103"/>
      <c r="E39" s="103"/>
      <c r="F39" s="103"/>
      <c r="G39" s="103"/>
      <c r="H39" s="103"/>
      <c r="I39" s="103"/>
      <c r="J39" s="103"/>
      <c r="K39" s="103"/>
      <c r="L39" s="103"/>
      <c r="M39" s="102"/>
      <c r="N39" s="102"/>
      <c r="O39" s="102"/>
    </row>
    <row r="40" spans="1:15">
      <c r="A40" s="103"/>
      <c r="B40" s="103"/>
      <c r="C40" s="103"/>
      <c r="D40" s="103"/>
      <c r="E40" s="103"/>
      <c r="F40" s="103"/>
      <c r="G40" s="103"/>
      <c r="H40" s="103"/>
      <c r="I40" s="103"/>
      <c r="J40" s="103"/>
      <c r="K40" s="103"/>
      <c r="L40" s="103"/>
      <c r="M40" s="102"/>
      <c r="N40" s="102"/>
      <c r="O40" s="102"/>
    </row>
    <row r="41" spans="1:15">
      <c r="A41" s="103"/>
      <c r="B41" s="103"/>
      <c r="C41" s="103"/>
      <c r="D41" s="103"/>
      <c r="E41" s="103"/>
      <c r="F41" s="103"/>
      <c r="G41" s="103"/>
      <c r="H41" s="103"/>
      <c r="I41" s="103"/>
      <c r="J41" s="103"/>
      <c r="K41" s="103"/>
      <c r="L41" s="103"/>
      <c r="M41" s="102"/>
      <c r="N41" s="102"/>
      <c r="O41" s="102"/>
    </row>
    <row r="42" spans="1:15">
      <c r="A42" s="103"/>
      <c r="B42" s="103"/>
      <c r="C42" s="103"/>
      <c r="D42" s="103"/>
      <c r="E42" s="103"/>
      <c r="F42" s="103"/>
      <c r="G42" s="103"/>
      <c r="H42" s="103"/>
      <c r="I42" s="103"/>
      <c r="J42" s="103"/>
      <c r="K42" s="103"/>
      <c r="L42" s="103"/>
      <c r="M42" s="102"/>
      <c r="N42" s="102"/>
      <c r="O42" s="102"/>
    </row>
    <row r="43" spans="1:15">
      <c r="A43" s="103"/>
      <c r="B43" s="103"/>
      <c r="C43" s="103"/>
      <c r="D43" s="103"/>
      <c r="E43" s="103"/>
      <c r="F43" s="103"/>
      <c r="G43" s="103"/>
      <c r="H43" s="103"/>
      <c r="I43" s="103"/>
      <c r="J43" s="103"/>
      <c r="K43" s="103"/>
      <c r="L43" s="103"/>
      <c r="M43" s="102"/>
      <c r="N43" s="102"/>
      <c r="O43" s="102"/>
    </row>
    <row r="44" spans="1:15">
      <c r="A44" s="103"/>
      <c r="B44" s="103"/>
      <c r="C44" s="103"/>
      <c r="D44" s="103"/>
      <c r="E44" s="103"/>
      <c r="F44" s="103"/>
      <c r="G44" s="103"/>
      <c r="H44" s="103"/>
      <c r="I44" s="103"/>
      <c r="J44" s="103"/>
      <c r="K44" s="103"/>
      <c r="L44" s="103"/>
      <c r="M44" s="102"/>
      <c r="N44" s="102"/>
      <c r="O44" s="102"/>
    </row>
    <row r="45" spans="1:15">
      <c r="A45" s="103"/>
      <c r="B45" s="103"/>
      <c r="C45" s="103"/>
      <c r="D45" s="103"/>
      <c r="E45" s="103"/>
      <c r="F45" s="103"/>
      <c r="G45" s="103"/>
      <c r="H45" s="103"/>
      <c r="I45" s="103"/>
      <c r="J45" s="103"/>
      <c r="K45" s="103"/>
      <c r="L45" s="103"/>
      <c r="M45" s="102"/>
      <c r="N45" s="102"/>
      <c r="O45" s="102"/>
    </row>
    <row r="46" spans="1:15">
      <c r="A46" s="103"/>
      <c r="B46" s="103"/>
      <c r="C46" s="103"/>
      <c r="D46" s="103"/>
      <c r="E46" s="103"/>
      <c r="F46" s="103"/>
      <c r="G46" s="103"/>
      <c r="H46" s="103"/>
      <c r="I46" s="103"/>
      <c r="J46" s="103"/>
      <c r="K46" s="103"/>
      <c r="L46" s="103"/>
      <c r="M46" s="102"/>
      <c r="N46" s="102"/>
      <c r="O46" s="102"/>
    </row>
    <row r="47" spans="1:15">
      <c r="A47" s="103"/>
      <c r="B47" s="103"/>
      <c r="C47" s="103"/>
      <c r="D47" s="103"/>
      <c r="E47" s="103"/>
      <c r="F47" s="103"/>
      <c r="G47" s="103"/>
      <c r="H47" s="103"/>
      <c r="I47" s="103"/>
      <c r="J47" s="103"/>
      <c r="K47" s="103"/>
      <c r="L47" s="103"/>
      <c r="M47" s="102"/>
      <c r="N47" s="102"/>
      <c r="O47" s="102"/>
    </row>
    <row r="48" spans="1:15">
      <c r="A48" s="103"/>
      <c r="B48" s="103"/>
      <c r="C48" s="103"/>
      <c r="D48" s="103"/>
      <c r="E48" s="103"/>
      <c r="F48" s="103"/>
      <c r="G48" s="103"/>
      <c r="H48" s="103"/>
      <c r="I48" s="103"/>
      <c r="J48" s="103"/>
      <c r="K48" s="103"/>
      <c r="L48" s="103"/>
      <c r="M48" s="102"/>
      <c r="N48" s="102"/>
      <c r="O48" s="102"/>
    </row>
    <row r="49" spans="1:15">
      <c r="A49" s="103"/>
      <c r="B49" s="103"/>
      <c r="C49" s="103"/>
      <c r="D49" s="103"/>
      <c r="E49" s="103"/>
      <c r="F49" s="103"/>
      <c r="G49" s="103"/>
      <c r="H49" s="103"/>
      <c r="I49" s="103"/>
      <c r="J49" s="103"/>
      <c r="K49" s="103"/>
      <c r="L49" s="103"/>
      <c r="M49" s="102"/>
      <c r="N49" s="102"/>
      <c r="O49" s="102"/>
    </row>
    <row r="50" spans="1:15">
      <c r="A50" s="103"/>
      <c r="B50" s="103"/>
      <c r="C50" s="103"/>
      <c r="D50" s="103"/>
      <c r="E50" s="103"/>
      <c r="F50" s="103"/>
      <c r="G50" s="103"/>
      <c r="H50" s="103"/>
      <c r="I50" s="103"/>
      <c r="J50" s="103"/>
      <c r="K50" s="103"/>
      <c r="L50" s="103"/>
      <c r="M50" s="102"/>
      <c r="N50" s="102"/>
      <c r="O50" s="102"/>
    </row>
  </sheetData>
  <mergeCells count="10">
    <mergeCell ref="Q6:S7"/>
    <mergeCell ref="A2:O4"/>
    <mergeCell ref="A9:C30"/>
    <mergeCell ref="E9:G30"/>
    <mergeCell ref="I6:K7"/>
    <mergeCell ref="I9:K30"/>
    <mergeCell ref="M6:O7"/>
    <mergeCell ref="M9:O50"/>
    <mergeCell ref="A6:C7"/>
    <mergeCell ref="E6:G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C5BB-BB7E-1048-8A8E-62EBA6067559}">
  <sheetPr codeName="Sheet2">
    <tabColor theme="9" tint="0.59999389629810485"/>
  </sheetPr>
  <dimension ref="B1:Q24"/>
  <sheetViews>
    <sheetView showGridLines="0" workbookViewId="0">
      <selection activeCell="I31" sqref="I31"/>
    </sheetView>
  </sheetViews>
  <sheetFormatPr baseColWidth="10" defaultRowHeight="16"/>
  <cols>
    <col min="1" max="1" width="4" customWidth="1"/>
    <col min="2" max="2" width="15.1640625" customWidth="1"/>
    <col min="3" max="3" width="28.83203125" bestFit="1" customWidth="1"/>
    <col min="4" max="4" width="20.6640625" bestFit="1" customWidth="1"/>
    <col min="5" max="5" width="25.83203125" bestFit="1" customWidth="1"/>
    <col min="6" max="6" width="18" customWidth="1"/>
    <col min="7" max="7" width="19.83203125" style="2" bestFit="1" customWidth="1"/>
    <col min="8" max="8" width="25.33203125" bestFit="1" customWidth="1"/>
    <col min="9" max="9" width="12.83203125" customWidth="1"/>
    <col min="10" max="10" width="26" bestFit="1" customWidth="1"/>
    <col min="11" max="11" width="26" customWidth="1"/>
    <col min="12" max="12" width="26.33203125" bestFit="1" customWidth="1"/>
    <col min="13" max="13" width="24.83203125" bestFit="1" customWidth="1"/>
    <col min="14" max="14" width="21.33203125" bestFit="1" customWidth="1"/>
    <col min="15" max="15" width="27.6640625" bestFit="1" customWidth="1"/>
    <col min="16" max="16" width="27" bestFit="1" customWidth="1"/>
  </cols>
  <sheetData>
    <row r="1" spans="2:17" ht="17" thickBot="1"/>
    <row r="2" spans="2:17" ht="17" customHeight="1" thickBot="1">
      <c r="B2" s="71" t="s">
        <v>232</v>
      </c>
      <c r="C2" s="72"/>
      <c r="D2" s="72"/>
      <c r="E2" s="72"/>
      <c r="F2" s="73" t="s">
        <v>233</v>
      </c>
      <c r="G2" s="74"/>
      <c r="H2" s="74"/>
      <c r="I2" s="74"/>
      <c r="J2" s="75" t="s">
        <v>234</v>
      </c>
      <c r="K2" s="76"/>
      <c r="L2" s="76"/>
      <c r="M2" s="76"/>
      <c r="N2" s="76"/>
      <c r="O2" s="76"/>
      <c r="P2" s="77"/>
    </row>
    <row r="3" spans="2:17" ht="17" customHeight="1" thickBot="1">
      <c r="B3" s="72"/>
      <c r="C3" s="72"/>
      <c r="D3" s="72"/>
      <c r="E3" s="72"/>
      <c r="F3" s="74"/>
      <c r="G3" s="74"/>
      <c r="H3" s="74"/>
      <c r="I3" s="74"/>
      <c r="J3" s="78"/>
      <c r="K3" s="79"/>
      <c r="L3" s="79"/>
      <c r="M3" s="79"/>
      <c r="N3" s="79"/>
      <c r="O3" s="79"/>
      <c r="P3" s="80"/>
    </row>
    <row r="4" spans="2:17" s="3" customFormat="1" ht="38" customHeight="1" thickBot="1">
      <c r="B4" s="4" t="s">
        <v>0</v>
      </c>
      <c r="C4" s="4" t="s">
        <v>1</v>
      </c>
      <c r="D4" s="4" t="s">
        <v>3</v>
      </c>
      <c r="E4" s="4" t="s">
        <v>4</v>
      </c>
      <c r="F4" s="5" t="s">
        <v>2</v>
      </c>
      <c r="G4" s="4" t="s">
        <v>8</v>
      </c>
      <c r="H4" s="4" t="s">
        <v>5</v>
      </c>
      <c r="I4" s="4" t="s">
        <v>6</v>
      </c>
      <c r="J4" s="15" t="s">
        <v>239</v>
      </c>
      <c r="K4" s="15" t="s">
        <v>265</v>
      </c>
      <c r="L4" s="14" t="s">
        <v>7</v>
      </c>
      <c r="M4" s="14" t="s">
        <v>9</v>
      </c>
      <c r="N4" s="14" t="s">
        <v>10</v>
      </c>
      <c r="O4" s="14" t="s">
        <v>11</v>
      </c>
      <c r="P4" s="14" t="s">
        <v>12</v>
      </c>
      <c r="Q4" s="58"/>
    </row>
    <row r="5" spans="2:17" ht="17" thickBot="1">
      <c r="B5" s="6" t="s">
        <v>13</v>
      </c>
      <c r="C5" s="6" t="s">
        <v>14</v>
      </c>
      <c r="D5" s="7" t="s">
        <v>15</v>
      </c>
      <c r="E5" s="7" t="s">
        <v>16</v>
      </c>
      <c r="F5" s="25">
        <v>267</v>
      </c>
      <c r="G5" s="8">
        <v>3.1</v>
      </c>
      <c r="H5" s="8">
        <v>24</v>
      </c>
      <c r="I5" s="8">
        <v>3</v>
      </c>
      <c r="J5" s="63">
        <v>3</v>
      </c>
      <c r="K5" s="63">
        <v>2</v>
      </c>
      <c r="L5" s="9" t="s">
        <v>17</v>
      </c>
      <c r="M5" s="10" t="s">
        <v>18</v>
      </c>
      <c r="N5" s="10" t="s">
        <v>19</v>
      </c>
      <c r="O5" s="10" t="s">
        <v>20</v>
      </c>
      <c r="P5" s="11">
        <v>45689</v>
      </c>
      <c r="Q5" t="s">
        <v>264</v>
      </c>
    </row>
    <row r="6" spans="2:17" ht="17" thickBot="1">
      <c r="B6" s="6" t="s">
        <v>21</v>
      </c>
      <c r="C6" s="6" t="s">
        <v>22</v>
      </c>
      <c r="D6" s="7" t="s">
        <v>15</v>
      </c>
      <c r="E6" s="7" t="s">
        <v>16</v>
      </c>
      <c r="F6" s="25">
        <v>611</v>
      </c>
      <c r="G6" s="8">
        <v>2.2000000000000002</v>
      </c>
      <c r="H6" s="8">
        <v>30</v>
      </c>
      <c r="I6" s="8">
        <v>2</v>
      </c>
      <c r="J6" s="63">
        <v>2</v>
      </c>
      <c r="K6" s="63">
        <v>2</v>
      </c>
      <c r="L6" s="9" t="s">
        <v>23</v>
      </c>
      <c r="M6" s="10" t="s">
        <v>24</v>
      </c>
      <c r="N6" s="10" t="s">
        <v>19</v>
      </c>
      <c r="O6" s="10" t="s">
        <v>25</v>
      </c>
      <c r="P6" s="11">
        <v>46071</v>
      </c>
    </row>
    <row r="7" spans="2:17" ht="17" thickBot="1">
      <c r="B7" s="6" t="s">
        <v>26</v>
      </c>
      <c r="C7" s="6" t="s">
        <v>27</v>
      </c>
      <c r="D7" s="7" t="s">
        <v>15</v>
      </c>
      <c r="E7" s="7" t="s">
        <v>16</v>
      </c>
      <c r="F7" s="25">
        <v>175</v>
      </c>
      <c r="G7" s="8">
        <v>1</v>
      </c>
      <c r="H7" s="8">
        <v>18</v>
      </c>
      <c r="I7" s="8">
        <v>4</v>
      </c>
      <c r="J7" s="63">
        <v>4</v>
      </c>
      <c r="K7" s="63">
        <v>2</v>
      </c>
      <c r="L7" s="9" t="s">
        <v>28</v>
      </c>
      <c r="M7" s="10" t="s">
        <v>29</v>
      </c>
      <c r="N7" s="10" t="s">
        <v>19</v>
      </c>
      <c r="O7" s="10" t="s">
        <v>30</v>
      </c>
      <c r="P7" s="11">
        <v>45691</v>
      </c>
    </row>
    <row r="8" spans="2:17" ht="17" thickBot="1">
      <c r="B8" s="6" t="s">
        <v>31</v>
      </c>
      <c r="C8" s="6" t="s">
        <v>32</v>
      </c>
      <c r="D8" s="7" t="s">
        <v>15</v>
      </c>
      <c r="E8" s="7" t="s">
        <v>33</v>
      </c>
      <c r="F8" s="25">
        <v>147</v>
      </c>
      <c r="G8" s="8">
        <v>1.5</v>
      </c>
      <c r="H8" s="8">
        <v>15</v>
      </c>
      <c r="I8" s="8">
        <v>6</v>
      </c>
      <c r="J8" s="63">
        <v>6</v>
      </c>
      <c r="K8" s="63">
        <v>2</v>
      </c>
      <c r="L8" s="9" t="s">
        <v>17</v>
      </c>
      <c r="M8" s="10" t="s">
        <v>34</v>
      </c>
      <c r="N8" s="10" t="s">
        <v>19</v>
      </c>
      <c r="O8" s="10" t="s">
        <v>35</v>
      </c>
      <c r="P8" s="11">
        <v>45692</v>
      </c>
    </row>
    <row r="9" spans="2:17" ht="17" thickBot="1">
      <c r="B9" s="6" t="s">
        <v>36</v>
      </c>
      <c r="C9" s="6" t="s">
        <v>37</v>
      </c>
      <c r="D9" s="7" t="s">
        <v>15</v>
      </c>
      <c r="E9" s="7" t="s">
        <v>33</v>
      </c>
      <c r="F9" s="25">
        <v>210</v>
      </c>
      <c r="G9" s="8">
        <v>2</v>
      </c>
      <c r="H9" s="8">
        <v>20</v>
      </c>
      <c r="I9" s="8">
        <v>5</v>
      </c>
      <c r="J9" s="63">
        <v>5</v>
      </c>
      <c r="K9" s="63">
        <v>4</v>
      </c>
      <c r="L9" s="9" t="s">
        <v>23</v>
      </c>
      <c r="M9" s="10" t="s">
        <v>38</v>
      </c>
      <c r="N9" s="10" t="s">
        <v>19</v>
      </c>
      <c r="O9" s="10" t="s">
        <v>39</v>
      </c>
      <c r="P9" s="11">
        <v>45693</v>
      </c>
    </row>
    <row r="10" spans="2:17" ht="17" thickBot="1">
      <c r="B10" s="6" t="s">
        <v>40</v>
      </c>
      <c r="C10" s="6" t="s">
        <v>41</v>
      </c>
      <c r="D10" s="7" t="s">
        <v>15</v>
      </c>
      <c r="E10" s="7" t="s">
        <v>42</v>
      </c>
      <c r="F10" s="25">
        <v>480</v>
      </c>
      <c r="G10" s="8">
        <v>4.8</v>
      </c>
      <c r="H10" s="8">
        <v>28</v>
      </c>
      <c r="I10" s="8">
        <v>2</v>
      </c>
      <c r="J10" s="63">
        <v>2</v>
      </c>
      <c r="K10" s="63">
        <v>3</v>
      </c>
      <c r="L10" s="9" t="s">
        <v>28</v>
      </c>
      <c r="M10" s="10" t="s">
        <v>18</v>
      </c>
      <c r="N10" s="10" t="s">
        <v>19</v>
      </c>
      <c r="O10" s="10" t="s">
        <v>43</v>
      </c>
      <c r="P10" s="11">
        <v>45694</v>
      </c>
    </row>
    <row r="11" spans="2:17" ht="17" thickBot="1">
      <c r="B11" s="6" t="s">
        <v>44</v>
      </c>
      <c r="C11" s="6" t="s">
        <v>45</v>
      </c>
      <c r="D11" s="7" t="s">
        <v>15</v>
      </c>
      <c r="E11" s="7" t="s">
        <v>46</v>
      </c>
      <c r="F11" s="25">
        <v>295</v>
      </c>
      <c r="G11" s="8">
        <v>0.9</v>
      </c>
      <c r="H11" s="8">
        <v>12</v>
      </c>
      <c r="I11" s="8">
        <v>5</v>
      </c>
      <c r="J11" s="63">
        <v>5</v>
      </c>
      <c r="K11" s="63">
        <v>2</v>
      </c>
      <c r="L11" s="9" t="s">
        <v>17</v>
      </c>
      <c r="M11" s="10" t="s">
        <v>24</v>
      </c>
      <c r="N11" s="10" t="s">
        <v>19</v>
      </c>
      <c r="O11" s="10" t="s">
        <v>47</v>
      </c>
      <c r="P11" s="11">
        <v>45695</v>
      </c>
    </row>
    <row r="12" spans="2:17" ht="17" thickBot="1">
      <c r="B12" s="6" t="s">
        <v>48</v>
      </c>
      <c r="C12" s="6" t="s">
        <v>49</v>
      </c>
      <c r="D12" s="7" t="s">
        <v>15</v>
      </c>
      <c r="E12" s="7" t="s">
        <v>46</v>
      </c>
      <c r="F12" s="25">
        <v>131</v>
      </c>
      <c r="G12" s="8">
        <v>1.2</v>
      </c>
      <c r="H12" s="8">
        <v>10</v>
      </c>
      <c r="I12" s="8">
        <v>8</v>
      </c>
      <c r="J12" s="63">
        <v>8</v>
      </c>
      <c r="K12" s="63">
        <v>3</v>
      </c>
      <c r="L12" s="9" t="s">
        <v>23</v>
      </c>
      <c r="M12" s="10" t="s">
        <v>29</v>
      </c>
      <c r="N12" s="10" t="s">
        <v>19</v>
      </c>
      <c r="O12" s="10" t="s">
        <v>50</v>
      </c>
      <c r="P12" s="11">
        <v>45696</v>
      </c>
    </row>
    <row r="13" spans="2:17" ht="17" thickBot="1">
      <c r="B13" s="6" t="s">
        <v>51</v>
      </c>
      <c r="C13" s="6" t="s">
        <v>52</v>
      </c>
      <c r="D13" s="7" t="s">
        <v>53</v>
      </c>
      <c r="E13" s="7" t="s">
        <v>54</v>
      </c>
      <c r="F13" s="25">
        <v>185</v>
      </c>
      <c r="G13" s="8">
        <v>0.25</v>
      </c>
      <c r="H13" s="8">
        <v>16</v>
      </c>
      <c r="I13" s="8">
        <v>6</v>
      </c>
      <c r="J13" s="63">
        <v>6</v>
      </c>
      <c r="K13" s="63">
        <v>4</v>
      </c>
      <c r="L13" s="9" t="s">
        <v>28</v>
      </c>
      <c r="M13" s="10" t="s">
        <v>18</v>
      </c>
      <c r="N13" s="10" t="s">
        <v>19</v>
      </c>
      <c r="O13" s="10" t="s">
        <v>55</v>
      </c>
      <c r="P13" s="11">
        <v>45697</v>
      </c>
    </row>
    <row r="14" spans="2:17" ht="17" thickBot="1">
      <c r="B14" s="6" t="s">
        <v>56</v>
      </c>
      <c r="C14" s="6" t="s">
        <v>57</v>
      </c>
      <c r="D14" s="7" t="s">
        <v>53</v>
      </c>
      <c r="E14" s="7" t="s">
        <v>54</v>
      </c>
      <c r="F14" s="25">
        <v>420</v>
      </c>
      <c r="G14" s="8">
        <v>0.6</v>
      </c>
      <c r="H14" s="8">
        <v>22</v>
      </c>
      <c r="I14" s="8">
        <v>3</v>
      </c>
      <c r="J14" s="63">
        <v>9</v>
      </c>
      <c r="K14" s="63">
        <v>5</v>
      </c>
      <c r="L14" s="9" t="s">
        <v>17</v>
      </c>
      <c r="M14" s="10" t="s">
        <v>24</v>
      </c>
      <c r="N14" s="10" t="s">
        <v>19</v>
      </c>
      <c r="O14" s="10" t="s">
        <v>58</v>
      </c>
      <c r="P14" s="11">
        <v>45698</v>
      </c>
    </row>
    <row r="15" spans="2:17" ht="17" thickBot="1">
      <c r="B15" s="6" t="s">
        <v>59</v>
      </c>
      <c r="C15" s="6" t="s">
        <v>60</v>
      </c>
      <c r="D15" s="7" t="s">
        <v>53</v>
      </c>
      <c r="E15" s="7" t="s">
        <v>61</v>
      </c>
      <c r="F15" s="25">
        <v>350</v>
      </c>
      <c r="G15" s="8">
        <v>1.1000000000000001</v>
      </c>
      <c r="H15" s="8">
        <v>18</v>
      </c>
      <c r="I15" s="8">
        <v>4</v>
      </c>
      <c r="J15" s="63">
        <v>4</v>
      </c>
      <c r="K15" s="63">
        <v>6</v>
      </c>
      <c r="L15" s="9" t="s">
        <v>23</v>
      </c>
      <c r="M15" s="10" t="s">
        <v>29</v>
      </c>
      <c r="N15" s="10" t="s">
        <v>19</v>
      </c>
      <c r="O15" s="10" t="s">
        <v>62</v>
      </c>
      <c r="P15" s="11">
        <v>45699</v>
      </c>
    </row>
    <row r="16" spans="2:17" ht="17" thickBot="1">
      <c r="B16" s="6" t="s">
        <v>63</v>
      </c>
      <c r="C16" s="6" t="s">
        <v>64</v>
      </c>
      <c r="D16" s="7" t="s">
        <v>53</v>
      </c>
      <c r="E16" s="7" t="s">
        <v>61</v>
      </c>
      <c r="F16" s="25">
        <v>295</v>
      </c>
      <c r="G16" s="8">
        <v>0.4</v>
      </c>
      <c r="H16" s="8">
        <v>20</v>
      </c>
      <c r="I16" s="8">
        <v>3</v>
      </c>
      <c r="J16" s="63">
        <v>3</v>
      </c>
      <c r="K16" s="63">
        <v>7</v>
      </c>
      <c r="L16" s="9" t="s">
        <v>28</v>
      </c>
      <c r="M16" s="10" t="s">
        <v>38</v>
      </c>
      <c r="N16" s="10" t="s">
        <v>19</v>
      </c>
      <c r="O16" s="10" t="s">
        <v>65</v>
      </c>
      <c r="P16" s="11">
        <v>45700</v>
      </c>
    </row>
    <row r="17" spans="2:16" ht="17" thickBot="1">
      <c r="B17" s="6" t="s">
        <v>66</v>
      </c>
      <c r="C17" s="6" t="s">
        <v>67</v>
      </c>
      <c r="D17" s="7" t="s">
        <v>53</v>
      </c>
      <c r="E17" s="7" t="s">
        <v>68</v>
      </c>
      <c r="F17" s="25">
        <v>110</v>
      </c>
      <c r="G17" s="8">
        <v>0.3</v>
      </c>
      <c r="H17" s="8">
        <v>12</v>
      </c>
      <c r="I17" s="8">
        <v>10</v>
      </c>
      <c r="J17" s="63">
        <v>10</v>
      </c>
      <c r="K17" s="63">
        <v>5</v>
      </c>
      <c r="L17" s="9" t="s">
        <v>17</v>
      </c>
      <c r="M17" s="10" t="s">
        <v>24</v>
      </c>
      <c r="N17" s="10" t="s">
        <v>19</v>
      </c>
      <c r="O17" s="10" t="s">
        <v>69</v>
      </c>
      <c r="P17" s="11">
        <v>45701</v>
      </c>
    </row>
    <row r="18" spans="2:16" ht="17" thickBot="1">
      <c r="B18" s="6" t="s">
        <v>70</v>
      </c>
      <c r="C18" s="6" t="s">
        <v>71</v>
      </c>
      <c r="D18" s="7" t="s">
        <v>53</v>
      </c>
      <c r="E18" s="7" t="s">
        <v>72</v>
      </c>
      <c r="F18" s="25">
        <v>580</v>
      </c>
      <c r="G18" s="8">
        <v>0.9</v>
      </c>
      <c r="H18" s="8">
        <v>25</v>
      </c>
      <c r="I18" s="8">
        <v>2</v>
      </c>
      <c r="J18" s="63">
        <v>2</v>
      </c>
      <c r="K18" s="63">
        <v>4</v>
      </c>
      <c r="L18" s="9" t="s">
        <v>23</v>
      </c>
      <c r="M18" s="10" t="s">
        <v>24</v>
      </c>
      <c r="N18" s="10" t="s">
        <v>19</v>
      </c>
      <c r="O18" s="10" t="s">
        <v>73</v>
      </c>
      <c r="P18" s="11">
        <v>45702</v>
      </c>
    </row>
    <row r="19" spans="2:16" ht="17" thickBot="1">
      <c r="B19" s="6" t="s">
        <v>74</v>
      </c>
      <c r="C19" s="6" t="s">
        <v>75</v>
      </c>
      <c r="D19" s="7" t="s">
        <v>76</v>
      </c>
      <c r="E19" s="7" t="s">
        <v>77</v>
      </c>
      <c r="F19" s="25">
        <v>155</v>
      </c>
      <c r="G19" s="8">
        <v>1.4</v>
      </c>
      <c r="H19" s="8">
        <v>14</v>
      </c>
      <c r="I19" s="8">
        <v>6</v>
      </c>
      <c r="J19" s="63">
        <v>6</v>
      </c>
      <c r="K19" s="63">
        <v>4</v>
      </c>
      <c r="L19" s="9" t="s">
        <v>28</v>
      </c>
      <c r="M19" s="10" t="s">
        <v>18</v>
      </c>
      <c r="N19" s="10" t="s">
        <v>19</v>
      </c>
      <c r="O19" s="10" t="s">
        <v>78</v>
      </c>
      <c r="P19" s="11">
        <v>45703</v>
      </c>
    </row>
    <row r="20" spans="2:16" ht="17" thickBot="1">
      <c r="B20" s="6" t="s">
        <v>79</v>
      </c>
      <c r="C20" s="6" t="s">
        <v>80</v>
      </c>
      <c r="D20" s="7" t="s">
        <v>76</v>
      </c>
      <c r="E20" s="7" t="s">
        <v>81</v>
      </c>
      <c r="F20" s="25">
        <v>48</v>
      </c>
      <c r="G20" s="8">
        <v>0.7</v>
      </c>
      <c r="H20" s="8">
        <v>9</v>
      </c>
      <c r="I20" s="8">
        <v>12</v>
      </c>
      <c r="J20" s="63">
        <v>12</v>
      </c>
      <c r="K20" s="63">
        <v>3</v>
      </c>
      <c r="L20" s="9" t="s">
        <v>17</v>
      </c>
      <c r="M20" s="10" t="s">
        <v>34</v>
      </c>
      <c r="N20" s="10" t="s">
        <v>19</v>
      </c>
      <c r="O20" s="10" t="s">
        <v>82</v>
      </c>
      <c r="P20" s="11">
        <v>45704</v>
      </c>
    </row>
    <row r="21" spans="2:16" ht="17" thickBot="1">
      <c r="B21" s="6" t="s">
        <v>83</v>
      </c>
      <c r="C21" s="6" t="s">
        <v>84</v>
      </c>
      <c r="D21" s="7" t="s">
        <v>76</v>
      </c>
      <c r="E21" s="7" t="s">
        <v>85</v>
      </c>
      <c r="F21" s="25">
        <v>65</v>
      </c>
      <c r="G21" s="8">
        <v>0.6</v>
      </c>
      <c r="H21" s="8">
        <v>7</v>
      </c>
      <c r="I21" s="8">
        <v>20</v>
      </c>
      <c r="J21" s="63">
        <v>20</v>
      </c>
      <c r="K21" s="63">
        <v>5</v>
      </c>
      <c r="L21" s="9" t="s">
        <v>23</v>
      </c>
      <c r="M21" s="10" t="s">
        <v>29</v>
      </c>
      <c r="N21" s="10" t="s">
        <v>19</v>
      </c>
      <c r="O21" s="10" t="s">
        <v>86</v>
      </c>
      <c r="P21" s="11">
        <v>45705</v>
      </c>
    </row>
    <row r="22" spans="2:16" ht="17" thickBot="1">
      <c r="B22" s="6" t="s">
        <v>87</v>
      </c>
      <c r="C22" s="6" t="s">
        <v>88</v>
      </c>
      <c r="D22" s="7" t="s">
        <v>89</v>
      </c>
      <c r="E22" s="7" t="s">
        <v>90</v>
      </c>
      <c r="F22" s="25">
        <v>95</v>
      </c>
      <c r="G22" s="8">
        <v>1.3</v>
      </c>
      <c r="H22" s="8">
        <v>13</v>
      </c>
      <c r="I22" s="8">
        <v>8</v>
      </c>
      <c r="J22" s="63">
        <v>8</v>
      </c>
      <c r="K22" s="63">
        <v>5</v>
      </c>
      <c r="L22" s="9" t="s">
        <v>28</v>
      </c>
      <c r="M22" s="10" t="s">
        <v>29</v>
      </c>
      <c r="N22" s="10" t="s">
        <v>19</v>
      </c>
      <c r="O22" s="10" t="s">
        <v>91</v>
      </c>
      <c r="P22" s="11">
        <v>45706</v>
      </c>
    </row>
    <row r="23" spans="2:16" ht="17" thickBot="1">
      <c r="B23" s="6" t="s">
        <v>92</v>
      </c>
      <c r="C23" s="6" t="s">
        <v>93</v>
      </c>
      <c r="D23" s="7" t="s">
        <v>89</v>
      </c>
      <c r="E23" s="7" t="s">
        <v>94</v>
      </c>
      <c r="F23" s="25">
        <v>177</v>
      </c>
      <c r="G23" s="8">
        <v>1.6</v>
      </c>
      <c r="H23" s="8">
        <v>11</v>
      </c>
      <c r="I23" s="8">
        <v>7</v>
      </c>
      <c r="J23" s="63">
        <v>7</v>
      </c>
      <c r="K23" s="63">
        <v>5</v>
      </c>
      <c r="L23" s="9" t="s">
        <v>17</v>
      </c>
      <c r="M23" s="10" t="s">
        <v>34</v>
      </c>
      <c r="N23" s="10" t="s">
        <v>19</v>
      </c>
      <c r="O23" s="10" t="s">
        <v>95</v>
      </c>
      <c r="P23" s="11">
        <v>46073</v>
      </c>
    </row>
    <row r="24" spans="2:16" ht="17" thickBot="1">
      <c r="B24" s="6" t="s">
        <v>96</v>
      </c>
      <c r="C24" s="6" t="s">
        <v>97</v>
      </c>
      <c r="D24" s="7" t="s">
        <v>89</v>
      </c>
      <c r="E24" s="7" t="s">
        <v>98</v>
      </c>
      <c r="F24" s="25">
        <v>121</v>
      </c>
      <c r="G24" s="8">
        <v>2.1</v>
      </c>
      <c r="H24" s="8">
        <v>10</v>
      </c>
      <c r="I24" s="8">
        <v>10</v>
      </c>
      <c r="J24" s="63">
        <v>10</v>
      </c>
      <c r="K24" s="63">
        <v>4</v>
      </c>
      <c r="L24" s="9" t="s">
        <v>23</v>
      </c>
      <c r="M24" s="10" t="s">
        <v>24</v>
      </c>
      <c r="N24" s="10" t="s">
        <v>19</v>
      </c>
      <c r="O24" s="10" t="s">
        <v>99</v>
      </c>
      <c r="P24" s="11">
        <v>45708</v>
      </c>
    </row>
  </sheetData>
  <sheetProtection sheet="1" objects="1" scenarios="1"/>
  <mergeCells count="3">
    <mergeCell ref="B2:E3"/>
    <mergeCell ref="F2:I3"/>
    <mergeCell ref="J2:P3"/>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1C40F-4D37-7040-9C3D-1DC0CBE8BEAF}">
  <sheetPr codeName="Sheet3">
    <tabColor theme="9" tint="0.59999389629810485"/>
  </sheetPr>
  <dimension ref="B1:Q22"/>
  <sheetViews>
    <sheetView showGridLines="0" topLeftCell="F1" workbookViewId="0">
      <selection activeCell="G26" sqref="G26"/>
    </sheetView>
  </sheetViews>
  <sheetFormatPr baseColWidth="10" defaultRowHeight="16"/>
  <cols>
    <col min="1" max="1" width="4.1640625" customWidth="1"/>
    <col min="2" max="2" width="15.1640625" bestFit="1" customWidth="1"/>
    <col min="3" max="3" width="27.1640625" bestFit="1" customWidth="1"/>
    <col min="4" max="4" width="20.6640625" bestFit="1" customWidth="1"/>
    <col min="5" max="5" width="23.1640625" style="1" bestFit="1" customWidth="1"/>
    <col min="6" max="6" width="19.83203125" bestFit="1" customWidth="1"/>
    <col min="7" max="7" width="18" bestFit="1" customWidth="1"/>
    <col min="8" max="8" width="25.33203125" bestFit="1" customWidth="1"/>
    <col min="9" max="9" width="12.83203125" bestFit="1" customWidth="1"/>
    <col min="10" max="10" width="26" bestFit="1" customWidth="1"/>
    <col min="11" max="11" width="26" customWidth="1"/>
    <col min="12" max="12" width="26.33203125" bestFit="1" customWidth="1"/>
    <col min="13" max="13" width="24.83203125" bestFit="1" customWidth="1"/>
    <col min="14" max="14" width="21.33203125" bestFit="1" customWidth="1"/>
    <col min="15" max="15" width="27.6640625" bestFit="1" customWidth="1"/>
  </cols>
  <sheetData>
    <row r="1" spans="2:17" ht="17" thickBot="1"/>
    <row r="2" spans="2:17" ht="17" thickBot="1">
      <c r="B2" s="71" t="s">
        <v>232</v>
      </c>
      <c r="C2" s="72"/>
      <c r="D2" s="72"/>
      <c r="E2" s="72"/>
      <c r="F2" s="73" t="s">
        <v>233</v>
      </c>
      <c r="G2" s="74"/>
      <c r="H2" s="74"/>
      <c r="I2" s="74"/>
      <c r="J2" s="81" t="s">
        <v>234</v>
      </c>
      <c r="K2" s="81"/>
      <c r="L2" s="81"/>
      <c r="M2" s="81"/>
      <c r="N2" s="81"/>
      <c r="O2" s="81"/>
    </row>
    <row r="3" spans="2:17" ht="17" thickBot="1">
      <c r="B3" s="72"/>
      <c r="C3" s="72"/>
      <c r="D3" s="72"/>
      <c r="E3" s="72"/>
      <c r="F3" s="74"/>
      <c r="G3" s="74"/>
      <c r="H3" s="74"/>
      <c r="I3" s="74"/>
      <c r="J3" s="81"/>
      <c r="K3" s="81"/>
      <c r="L3" s="81"/>
      <c r="M3" s="81"/>
      <c r="N3" s="81"/>
      <c r="O3" s="81"/>
    </row>
    <row r="4" spans="2:17" s="3" customFormat="1" ht="48" customHeight="1" thickBot="1">
      <c r="B4" s="4" t="s">
        <v>0</v>
      </c>
      <c r="C4" s="4" t="s">
        <v>1</v>
      </c>
      <c r="D4" s="4" t="s">
        <v>3</v>
      </c>
      <c r="E4" s="4" t="s">
        <v>4</v>
      </c>
      <c r="F4" s="12" t="s">
        <v>2</v>
      </c>
      <c r="G4" s="4" t="s">
        <v>8</v>
      </c>
      <c r="H4" s="4" t="s">
        <v>5</v>
      </c>
      <c r="I4" s="4" t="s">
        <v>6</v>
      </c>
      <c r="J4" s="4" t="s">
        <v>239</v>
      </c>
      <c r="K4" s="4" t="s">
        <v>265</v>
      </c>
      <c r="L4" s="4" t="s">
        <v>7</v>
      </c>
      <c r="M4" s="4" t="s">
        <v>9</v>
      </c>
      <c r="N4" s="4" t="s">
        <v>10</v>
      </c>
      <c r="O4" s="4" t="s">
        <v>11</v>
      </c>
      <c r="P4" s="4" t="s">
        <v>12</v>
      </c>
      <c r="Q4" s="58"/>
    </row>
    <row r="5" spans="2:17" ht="17" thickBot="1">
      <c r="B5" s="6" t="s">
        <v>100</v>
      </c>
      <c r="C5" s="6" t="s">
        <v>101</v>
      </c>
      <c r="D5" s="7" t="s">
        <v>102</v>
      </c>
      <c r="E5" s="7" t="s">
        <v>103</v>
      </c>
      <c r="F5" s="24">
        <v>721</v>
      </c>
      <c r="G5" s="8">
        <v>1.8</v>
      </c>
      <c r="H5" s="8">
        <v>26</v>
      </c>
      <c r="I5" s="8">
        <v>2</v>
      </c>
      <c r="J5" s="63">
        <v>1</v>
      </c>
      <c r="K5" s="63">
        <v>5</v>
      </c>
      <c r="L5" s="9" t="s">
        <v>17</v>
      </c>
      <c r="M5" s="10" t="s">
        <v>38</v>
      </c>
      <c r="N5" s="10" t="s">
        <v>19</v>
      </c>
      <c r="O5" s="10" t="s">
        <v>104</v>
      </c>
      <c r="P5" s="11">
        <v>46073</v>
      </c>
      <c r="Q5" s="60" t="s">
        <v>264</v>
      </c>
    </row>
    <row r="6" spans="2:17" ht="17" thickBot="1">
      <c r="B6" s="6" t="s">
        <v>105</v>
      </c>
      <c r="C6" s="6" t="s">
        <v>106</v>
      </c>
      <c r="D6" s="7" t="s">
        <v>102</v>
      </c>
      <c r="E6" s="7" t="s">
        <v>103</v>
      </c>
      <c r="F6" s="24">
        <v>145</v>
      </c>
      <c r="G6" s="8">
        <v>0.7</v>
      </c>
      <c r="H6" s="8">
        <v>14</v>
      </c>
      <c r="I6" s="8">
        <v>6</v>
      </c>
      <c r="J6" s="63">
        <v>10</v>
      </c>
      <c r="K6" s="63">
        <v>4</v>
      </c>
      <c r="L6" s="9" t="s">
        <v>23</v>
      </c>
      <c r="M6" s="10" t="s">
        <v>34</v>
      </c>
      <c r="N6" s="10" t="s">
        <v>19</v>
      </c>
      <c r="O6" s="10" t="s">
        <v>107</v>
      </c>
      <c r="P6" s="11">
        <v>45690</v>
      </c>
      <c r="Q6" s="17"/>
    </row>
    <row r="7" spans="2:17" ht="17" thickBot="1">
      <c r="B7" s="6" t="s">
        <v>108</v>
      </c>
      <c r="C7" s="6" t="s">
        <v>109</v>
      </c>
      <c r="D7" s="7" t="s">
        <v>102</v>
      </c>
      <c r="E7" s="7" t="s">
        <v>110</v>
      </c>
      <c r="F7" s="24">
        <v>62</v>
      </c>
      <c r="G7" s="8">
        <v>0.4</v>
      </c>
      <c r="H7" s="8">
        <v>8</v>
      </c>
      <c r="I7" s="8">
        <v>15</v>
      </c>
      <c r="J7" s="63">
        <v>0</v>
      </c>
      <c r="K7" s="63">
        <v>3</v>
      </c>
      <c r="L7" s="9" t="s">
        <v>28</v>
      </c>
      <c r="M7" s="10" t="s">
        <v>34</v>
      </c>
      <c r="N7" s="10" t="s">
        <v>19</v>
      </c>
      <c r="O7" s="10" t="s">
        <v>111</v>
      </c>
      <c r="P7" s="11">
        <v>45691</v>
      </c>
      <c r="Q7" s="17"/>
    </row>
    <row r="8" spans="2:17" ht="17" thickBot="1">
      <c r="B8" s="6" t="s">
        <v>112</v>
      </c>
      <c r="C8" s="6" t="s">
        <v>113</v>
      </c>
      <c r="D8" s="7" t="s">
        <v>114</v>
      </c>
      <c r="E8" s="7" t="s">
        <v>115</v>
      </c>
      <c r="F8" s="24">
        <v>480</v>
      </c>
      <c r="G8" s="8">
        <v>1.2</v>
      </c>
      <c r="H8" s="8">
        <v>20</v>
      </c>
      <c r="I8" s="8">
        <v>3</v>
      </c>
      <c r="J8" s="63">
        <v>3</v>
      </c>
      <c r="K8" s="63">
        <v>1</v>
      </c>
      <c r="L8" s="9" t="s">
        <v>17</v>
      </c>
      <c r="M8" s="10" t="s">
        <v>24</v>
      </c>
      <c r="N8" s="10" t="s">
        <v>19</v>
      </c>
      <c r="O8" s="10" t="s">
        <v>116</v>
      </c>
      <c r="P8" s="11">
        <v>45692</v>
      </c>
      <c r="Q8" s="17"/>
    </row>
    <row r="9" spans="2:17" ht="17" thickBot="1">
      <c r="B9" s="6" t="s">
        <v>117</v>
      </c>
      <c r="C9" s="6" t="s">
        <v>118</v>
      </c>
      <c r="D9" s="7" t="s">
        <v>114</v>
      </c>
      <c r="E9" s="7" t="s">
        <v>115</v>
      </c>
      <c r="F9" s="24">
        <v>131</v>
      </c>
      <c r="G9" s="8">
        <v>0.5</v>
      </c>
      <c r="H9" s="8">
        <v>12</v>
      </c>
      <c r="I9" s="8">
        <v>8</v>
      </c>
      <c r="J9" s="63">
        <v>9</v>
      </c>
      <c r="K9" s="63">
        <v>3</v>
      </c>
      <c r="L9" s="9" t="s">
        <v>23</v>
      </c>
      <c r="M9" s="10" t="s">
        <v>29</v>
      </c>
      <c r="N9" s="10" t="s">
        <v>19</v>
      </c>
      <c r="O9" s="10" t="s">
        <v>119</v>
      </c>
      <c r="P9" s="11">
        <v>46073</v>
      </c>
      <c r="Q9" s="17"/>
    </row>
    <row r="10" spans="2:17" ht="17" thickBot="1">
      <c r="B10" s="6" t="s">
        <v>120</v>
      </c>
      <c r="C10" s="6" t="s">
        <v>121</v>
      </c>
      <c r="D10" s="7" t="s">
        <v>114</v>
      </c>
      <c r="E10" s="7" t="s">
        <v>115</v>
      </c>
      <c r="F10" s="24">
        <v>98</v>
      </c>
      <c r="G10" s="8">
        <v>0.6</v>
      </c>
      <c r="H10" s="8">
        <v>10</v>
      </c>
      <c r="I10" s="8">
        <v>10</v>
      </c>
      <c r="J10" s="63">
        <v>0</v>
      </c>
      <c r="K10" s="63">
        <v>5</v>
      </c>
      <c r="L10" s="9" t="s">
        <v>28</v>
      </c>
      <c r="M10" s="10" t="s">
        <v>29</v>
      </c>
      <c r="N10" s="10" t="s">
        <v>19</v>
      </c>
      <c r="O10" s="10" t="s">
        <v>122</v>
      </c>
      <c r="P10" s="11">
        <v>45694</v>
      </c>
      <c r="Q10" s="17"/>
    </row>
    <row r="11" spans="2:17" ht="17" thickBot="1">
      <c r="B11" s="6" t="s">
        <v>123</v>
      </c>
      <c r="C11" s="6" t="s">
        <v>124</v>
      </c>
      <c r="D11" s="7" t="s">
        <v>114</v>
      </c>
      <c r="E11" s="7" t="s">
        <v>125</v>
      </c>
      <c r="F11" s="24">
        <v>75</v>
      </c>
      <c r="G11" s="8">
        <v>0.4</v>
      </c>
      <c r="H11" s="8">
        <v>7</v>
      </c>
      <c r="I11" s="8">
        <v>20</v>
      </c>
      <c r="J11" s="63">
        <v>0</v>
      </c>
      <c r="K11" s="63">
        <v>2</v>
      </c>
      <c r="L11" s="9" t="s">
        <v>17</v>
      </c>
      <c r="M11" s="10" t="s">
        <v>24</v>
      </c>
      <c r="N11" s="10" t="s">
        <v>19</v>
      </c>
      <c r="O11" s="10" t="s">
        <v>126</v>
      </c>
      <c r="P11" s="11">
        <v>46073</v>
      </c>
      <c r="Q11" s="17"/>
    </row>
    <row r="12" spans="2:17" ht="17" thickBot="1">
      <c r="B12" s="6" t="s">
        <v>127</v>
      </c>
      <c r="C12" s="6" t="s">
        <v>128</v>
      </c>
      <c r="D12" s="7" t="s">
        <v>114</v>
      </c>
      <c r="E12" s="7" t="s">
        <v>125</v>
      </c>
      <c r="F12" s="24">
        <v>1251</v>
      </c>
      <c r="G12" s="8">
        <v>2.5</v>
      </c>
      <c r="H12" s="8">
        <v>30</v>
      </c>
      <c r="I12" s="8">
        <v>1</v>
      </c>
      <c r="J12" s="63">
        <v>0</v>
      </c>
      <c r="K12" s="63">
        <v>5</v>
      </c>
      <c r="L12" s="9" t="s">
        <v>23</v>
      </c>
      <c r="M12" s="10" t="s">
        <v>18</v>
      </c>
      <c r="N12" s="10" t="s">
        <v>19</v>
      </c>
      <c r="O12" s="10" t="s">
        <v>129</v>
      </c>
      <c r="P12" s="11">
        <v>46071</v>
      </c>
      <c r="Q12" s="17"/>
    </row>
    <row r="13" spans="2:17" ht="17" thickBot="1">
      <c r="B13" s="6" t="s">
        <v>130</v>
      </c>
      <c r="C13" s="6" t="s">
        <v>131</v>
      </c>
      <c r="D13" s="7" t="s">
        <v>114</v>
      </c>
      <c r="E13" s="7" t="s">
        <v>132</v>
      </c>
      <c r="F13" s="24">
        <v>185</v>
      </c>
      <c r="G13" s="8">
        <v>0.7</v>
      </c>
      <c r="H13" s="8">
        <v>15</v>
      </c>
      <c r="I13" s="8">
        <v>5</v>
      </c>
      <c r="J13" s="63">
        <v>0</v>
      </c>
      <c r="K13" s="63">
        <v>5</v>
      </c>
      <c r="L13" s="9" t="s">
        <v>28</v>
      </c>
      <c r="M13" s="10" t="s">
        <v>38</v>
      </c>
      <c r="N13" s="10" t="s">
        <v>19</v>
      </c>
      <c r="O13" s="10" t="s">
        <v>133</v>
      </c>
      <c r="P13" s="11">
        <v>45697</v>
      </c>
      <c r="Q13" s="17"/>
    </row>
    <row r="14" spans="2:17" ht="17" thickBot="1">
      <c r="B14" s="6" t="s">
        <v>134</v>
      </c>
      <c r="C14" s="6" t="s">
        <v>135</v>
      </c>
      <c r="D14" s="7" t="s">
        <v>114</v>
      </c>
      <c r="E14" s="7" t="s">
        <v>132</v>
      </c>
      <c r="F14" s="24">
        <v>395</v>
      </c>
      <c r="G14" s="8">
        <v>1</v>
      </c>
      <c r="H14" s="8">
        <v>18</v>
      </c>
      <c r="I14" s="8">
        <v>3</v>
      </c>
      <c r="J14" s="63">
        <v>12</v>
      </c>
      <c r="K14" s="63">
        <v>5</v>
      </c>
      <c r="L14" s="9" t="s">
        <v>17</v>
      </c>
      <c r="M14" s="10" t="s">
        <v>29</v>
      </c>
      <c r="N14" s="10" t="s">
        <v>19</v>
      </c>
      <c r="O14" s="10" t="s">
        <v>136</v>
      </c>
      <c r="P14" s="11">
        <v>45698</v>
      </c>
      <c r="Q14" s="17"/>
    </row>
    <row r="15" spans="2:17" ht="17" thickBot="1">
      <c r="B15" s="6" t="s">
        <v>137</v>
      </c>
      <c r="C15" s="6" t="s">
        <v>138</v>
      </c>
      <c r="D15" s="7" t="s">
        <v>53</v>
      </c>
      <c r="E15" s="7" t="s">
        <v>54</v>
      </c>
      <c r="F15" s="24">
        <v>1150</v>
      </c>
      <c r="G15" s="8">
        <v>1.3</v>
      </c>
      <c r="H15" s="8">
        <v>32</v>
      </c>
      <c r="I15" s="8">
        <v>1</v>
      </c>
      <c r="J15" s="63">
        <v>5</v>
      </c>
      <c r="K15" s="63">
        <v>4</v>
      </c>
      <c r="L15" s="9" t="s">
        <v>23</v>
      </c>
      <c r="M15" s="10" t="s">
        <v>24</v>
      </c>
      <c r="N15" s="10" t="s">
        <v>19</v>
      </c>
      <c r="O15" s="10" t="s">
        <v>139</v>
      </c>
      <c r="P15" s="11">
        <v>45699</v>
      </c>
      <c r="Q15" s="17"/>
    </row>
    <row r="16" spans="2:17" ht="17" thickBot="1">
      <c r="B16" s="6" t="s">
        <v>140</v>
      </c>
      <c r="C16" s="6" t="s">
        <v>141</v>
      </c>
      <c r="D16" s="7" t="s">
        <v>53</v>
      </c>
      <c r="E16" s="7" t="s">
        <v>54</v>
      </c>
      <c r="F16" s="24">
        <v>28</v>
      </c>
      <c r="G16" s="8">
        <v>0.15</v>
      </c>
      <c r="H16" s="8">
        <v>7</v>
      </c>
      <c r="I16" s="8">
        <v>25</v>
      </c>
      <c r="J16" s="63">
        <v>7</v>
      </c>
      <c r="K16" s="63">
        <v>3</v>
      </c>
      <c r="L16" s="9" t="s">
        <v>28</v>
      </c>
      <c r="M16" s="10" t="s">
        <v>34</v>
      </c>
      <c r="N16" s="10" t="s">
        <v>19</v>
      </c>
      <c r="O16" s="10" t="s">
        <v>142</v>
      </c>
      <c r="P16" s="11">
        <v>45700</v>
      </c>
      <c r="Q16" s="17"/>
    </row>
    <row r="17" spans="2:17" ht="17" thickBot="1">
      <c r="B17" s="6" t="s">
        <v>143</v>
      </c>
      <c r="C17" s="6" t="s">
        <v>144</v>
      </c>
      <c r="D17" s="7" t="s">
        <v>53</v>
      </c>
      <c r="E17" s="7" t="s">
        <v>61</v>
      </c>
      <c r="F17" s="24">
        <v>620</v>
      </c>
      <c r="G17" s="8">
        <v>0.9</v>
      </c>
      <c r="H17" s="8">
        <v>21</v>
      </c>
      <c r="I17" s="8">
        <v>2</v>
      </c>
      <c r="J17" s="63">
        <v>5</v>
      </c>
      <c r="K17" s="63">
        <v>3</v>
      </c>
      <c r="L17" s="9" t="s">
        <v>17</v>
      </c>
      <c r="M17" s="10" t="s">
        <v>29</v>
      </c>
      <c r="N17" s="10" t="s">
        <v>19</v>
      </c>
      <c r="O17" s="10" t="s">
        <v>145</v>
      </c>
      <c r="P17" s="11">
        <v>45701</v>
      </c>
      <c r="Q17" s="17"/>
    </row>
    <row r="18" spans="2:17" ht="17" thickBot="1">
      <c r="B18" s="6" t="s">
        <v>146</v>
      </c>
      <c r="C18" s="6" t="s">
        <v>147</v>
      </c>
      <c r="D18" s="7" t="s">
        <v>53</v>
      </c>
      <c r="E18" s="7" t="s">
        <v>61</v>
      </c>
      <c r="F18" s="24">
        <v>155</v>
      </c>
      <c r="G18" s="8">
        <v>0.5</v>
      </c>
      <c r="H18" s="8">
        <v>14</v>
      </c>
      <c r="I18" s="8">
        <v>6</v>
      </c>
      <c r="J18" s="63">
        <v>5</v>
      </c>
      <c r="K18" s="63">
        <v>2</v>
      </c>
      <c r="L18" s="9" t="s">
        <v>23</v>
      </c>
      <c r="M18" s="10" t="s">
        <v>29</v>
      </c>
      <c r="N18" s="10" t="s">
        <v>19</v>
      </c>
      <c r="O18" s="10" t="s">
        <v>148</v>
      </c>
      <c r="P18" s="11">
        <v>45702</v>
      </c>
      <c r="Q18" s="17"/>
    </row>
    <row r="19" spans="2:17" ht="17" thickBot="1">
      <c r="B19" s="6" t="s">
        <v>149</v>
      </c>
      <c r="C19" s="6" t="s">
        <v>150</v>
      </c>
      <c r="D19" s="7" t="s">
        <v>114</v>
      </c>
      <c r="E19" s="7" t="s">
        <v>81</v>
      </c>
      <c r="F19" s="24">
        <v>210</v>
      </c>
      <c r="G19" s="8">
        <v>2.1</v>
      </c>
      <c r="H19" s="8">
        <v>18</v>
      </c>
      <c r="I19" s="8">
        <v>4</v>
      </c>
      <c r="J19" s="63">
        <v>0</v>
      </c>
      <c r="K19" s="63">
        <v>4</v>
      </c>
      <c r="L19" s="9" t="s">
        <v>28</v>
      </c>
      <c r="M19" s="10" t="s">
        <v>24</v>
      </c>
      <c r="N19" s="10" t="s">
        <v>19</v>
      </c>
      <c r="O19" s="10" t="s">
        <v>151</v>
      </c>
      <c r="P19" s="11">
        <v>45703</v>
      </c>
      <c r="Q19" s="17"/>
    </row>
    <row r="20" spans="2:17" ht="17" thickBot="1">
      <c r="B20" s="6" t="s">
        <v>152</v>
      </c>
      <c r="C20" s="6" t="s">
        <v>153</v>
      </c>
      <c r="D20" s="7" t="s">
        <v>76</v>
      </c>
      <c r="E20" s="7" t="s">
        <v>154</v>
      </c>
      <c r="F20" s="24">
        <v>88</v>
      </c>
      <c r="G20" s="8">
        <v>0.6</v>
      </c>
      <c r="H20" s="8">
        <v>10</v>
      </c>
      <c r="I20" s="8">
        <v>10</v>
      </c>
      <c r="J20" s="63">
        <v>9</v>
      </c>
      <c r="K20" s="63">
        <v>5</v>
      </c>
      <c r="L20" s="9" t="s">
        <v>17</v>
      </c>
      <c r="M20" s="10" t="s">
        <v>24</v>
      </c>
      <c r="N20" s="10" t="s">
        <v>19</v>
      </c>
      <c r="O20" s="10" t="s">
        <v>155</v>
      </c>
      <c r="P20" s="11">
        <v>45704</v>
      </c>
      <c r="Q20" s="17"/>
    </row>
    <row r="21" spans="2:17" ht="17" thickBot="1">
      <c r="B21" s="6" t="s">
        <v>156</v>
      </c>
      <c r="C21" s="6" t="s">
        <v>157</v>
      </c>
      <c r="D21" s="7" t="s">
        <v>76</v>
      </c>
      <c r="E21" s="7" t="s">
        <v>85</v>
      </c>
      <c r="F21" s="24">
        <v>48</v>
      </c>
      <c r="G21" s="8">
        <v>1.2</v>
      </c>
      <c r="H21" s="8">
        <v>8</v>
      </c>
      <c r="I21" s="8">
        <v>15</v>
      </c>
      <c r="J21" s="63">
        <v>12</v>
      </c>
      <c r="K21" s="63">
        <v>4</v>
      </c>
      <c r="L21" s="9" t="s">
        <v>23</v>
      </c>
      <c r="M21" s="10" t="s">
        <v>29</v>
      </c>
      <c r="N21" s="10" t="s">
        <v>19</v>
      </c>
      <c r="O21" s="10" t="s">
        <v>158</v>
      </c>
      <c r="P21" s="11">
        <v>45705</v>
      </c>
      <c r="Q21" s="17"/>
    </row>
    <row r="22" spans="2:17" ht="17" thickBot="1">
      <c r="B22" s="6" t="s">
        <v>159</v>
      </c>
      <c r="C22" s="6" t="s">
        <v>160</v>
      </c>
      <c r="D22" s="7" t="s">
        <v>76</v>
      </c>
      <c r="E22" s="7" t="s">
        <v>77</v>
      </c>
      <c r="F22" s="24">
        <v>95</v>
      </c>
      <c r="G22" s="8">
        <v>0.9</v>
      </c>
      <c r="H22" s="8">
        <v>11</v>
      </c>
      <c r="I22" s="8">
        <v>10</v>
      </c>
      <c r="J22" s="63">
        <v>0</v>
      </c>
      <c r="K22" s="63">
        <v>6</v>
      </c>
      <c r="L22" s="9" t="s">
        <v>28</v>
      </c>
      <c r="M22" s="10" t="s">
        <v>18</v>
      </c>
      <c r="N22" s="10" t="s">
        <v>19</v>
      </c>
      <c r="O22" s="10" t="s">
        <v>161</v>
      </c>
      <c r="P22" s="11">
        <v>45706</v>
      </c>
      <c r="Q22" s="61"/>
    </row>
  </sheetData>
  <sheetProtection sheet="1" objects="1" scenarios="1"/>
  <mergeCells count="3">
    <mergeCell ref="B2:E3"/>
    <mergeCell ref="F2:I3"/>
    <mergeCell ref="J2:O3"/>
  </mergeCells>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1F053-B971-2248-A1A6-9776BCDE1535}">
  <sheetPr codeName="Sheet4">
    <tabColor theme="9" tint="0.59999389629810485"/>
  </sheetPr>
  <dimension ref="B1:Q21"/>
  <sheetViews>
    <sheetView showGridLines="0" topLeftCell="E1" workbookViewId="0">
      <selection activeCell="G31" sqref="G31"/>
    </sheetView>
  </sheetViews>
  <sheetFormatPr baseColWidth="10" defaultRowHeight="16"/>
  <cols>
    <col min="1" max="1" width="3.83203125" customWidth="1"/>
    <col min="2" max="2" width="15.1640625" bestFit="1" customWidth="1"/>
    <col min="3" max="3" width="28.33203125" bestFit="1" customWidth="1"/>
    <col min="4" max="4" width="18.6640625" bestFit="1" customWidth="1"/>
    <col min="5" max="5" width="21.6640625" bestFit="1" customWidth="1"/>
    <col min="6" max="6" width="18.1640625" bestFit="1" customWidth="1"/>
    <col min="7" max="7" width="18" bestFit="1" customWidth="1"/>
    <col min="8" max="8" width="25.33203125" bestFit="1" customWidth="1"/>
    <col min="9" max="9" width="12.83203125" bestFit="1" customWidth="1"/>
    <col min="10" max="10" width="26" bestFit="1" customWidth="1"/>
    <col min="11" max="11" width="26.33203125" bestFit="1" customWidth="1"/>
    <col min="12" max="12" width="24.83203125" bestFit="1" customWidth="1"/>
    <col min="13" max="13" width="21.33203125" bestFit="1" customWidth="1"/>
    <col min="14" max="15" width="27.6640625" bestFit="1" customWidth="1"/>
  </cols>
  <sheetData>
    <row r="1" spans="2:17" ht="17" thickBot="1"/>
    <row r="2" spans="2:17" ht="17" customHeight="1" thickBot="1">
      <c r="B2" s="71" t="s">
        <v>232</v>
      </c>
      <c r="C2" s="72"/>
      <c r="D2" s="72"/>
      <c r="E2" s="72"/>
      <c r="F2" s="73" t="s">
        <v>233</v>
      </c>
      <c r="G2" s="74"/>
      <c r="H2" s="74"/>
      <c r="I2" s="74"/>
      <c r="J2" s="82" t="s">
        <v>234</v>
      </c>
      <c r="K2" s="83"/>
      <c r="L2" s="83"/>
      <c r="M2" s="83"/>
      <c r="N2" s="83"/>
      <c r="O2" s="83"/>
    </row>
    <row r="3" spans="2:17" ht="17" customHeight="1" thickBot="1">
      <c r="B3" s="72"/>
      <c r="C3" s="72"/>
      <c r="D3" s="72"/>
      <c r="E3" s="72"/>
      <c r="F3" s="74"/>
      <c r="G3" s="74"/>
      <c r="H3" s="74"/>
      <c r="I3" s="74"/>
      <c r="J3" s="78"/>
      <c r="K3" s="79"/>
      <c r="L3" s="79"/>
      <c r="M3" s="79"/>
      <c r="N3" s="79"/>
      <c r="O3" s="79"/>
    </row>
    <row r="4" spans="2:17" s="3" customFormat="1" ht="43" customHeight="1" thickBot="1">
      <c r="B4" s="4" t="s">
        <v>0</v>
      </c>
      <c r="C4" s="4" t="s">
        <v>1</v>
      </c>
      <c r="D4" s="4" t="s">
        <v>3</v>
      </c>
      <c r="E4" s="4" t="s">
        <v>4</v>
      </c>
      <c r="F4" s="4" t="s">
        <v>2</v>
      </c>
      <c r="G4" s="4" t="s">
        <v>8</v>
      </c>
      <c r="H4" s="4" t="s">
        <v>5</v>
      </c>
      <c r="I4" s="4" t="s">
        <v>6</v>
      </c>
      <c r="J4" s="4" t="s">
        <v>239</v>
      </c>
      <c r="K4" s="4" t="s">
        <v>265</v>
      </c>
      <c r="L4" s="4" t="s">
        <v>7</v>
      </c>
      <c r="M4" s="4" t="s">
        <v>9</v>
      </c>
      <c r="N4" s="4" t="s">
        <v>10</v>
      </c>
      <c r="O4" s="4" t="s">
        <v>11</v>
      </c>
      <c r="P4" s="4" t="s">
        <v>12</v>
      </c>
    </row>
    <row r="5" spans="2:17" ht="17" thickBot="1">
      <c r="B5" s="6" t="s">
        <v>162</v>
      </c>
      <c r="C5" s="6" t="s">
        <v>163</v>
      </c>
      <c r="D5" s="7" t="s">
        <v>164</v>
      </c>
      <c r="E5" s="7" t="s">
        <v>165</v>
      </c>
      <c r="F5" s="24">
        <v>850</v>
      </c>
      <c r="G5" s="8">
        <v>4.5</v>
      </c>
      <c r="H5" s="8">
        <v>28</v>
      </c>
      <c r="I5" s="8">
        <v>1</v>
      </c>
      <c r="J5" s="63">
        <v>11</v>
      </c>
      <c r="K5" s="63">
        <v>2</v>
      </c>
      <c r="L5" s="9" t="s">
        <v>17</v>
      </c>
      <c r="M5" s="10" t="s">
        <v>18</v>
      </c>
      <c r="N5" s="10" t="s">
        <v>19</v>
      </c>
      <c r="O5" s="10" t="s">
        <v>166</v>
      </c>
      <c r="P5" s="11">
        <v>45689</v>
      </c>
      <c r="Q5" t="s">
        <v>264</v>
      </c>
    </row>
    <row r="6" spans="2:17" ht="17" thickBot="1">
      <c r="B6" s="13" t="s">
        <v>167</v>
      </c>
      <c r="C6" s="6" t="s">
        <v>168</v>
      </c>
      <c r="D6" s="7" t="s">
        <v>164</v>
      </c>
      <c r="E6" s="7" t="s">
        <v>169</v>
      </c>
      <c r="F6" s="24">
        <v>220</v>
      </c>
      <c r="G6" s="8">
        <v>1.3</v>
      </c>
      <c r="H6" s="8">
        <v>14</v>
      </c>
      <c r="I6" s="8">
        <v>4</v>
      </c>
      <c r="J6" s="63">
        <v>12</v>
      </c>
      <c r="K6" s="63">
        <v>2</v>
      </c>
      <c r="L6" s="9" t="s">
        <v>23</v>
      </c>
      <c r="M6" s="10" t="s">
        <v>29</v>
      </c>
      <c r="N6" s="10" t="s">
        <v>19</v>
      </c>
      <c r="O6" s="10" t="s">
        <v>170</v>
      </c>
      <c r="P6" s="11">
        <v>45690</v>
      </c>
    </row>
    <row r="7" spans="2:17" ht="17" thickBot="1">
      <c r="B7" s="6" t="s">
        <v>171</v>
      </c>
      <c r="C7" s="6" t="s">
        <v>172</v>
      </c>
      <c r="D7" s="7" t="s">
        <v>164</v>
      </c>
      <c r="E7" s="7" t="s">
        <v>173</v>
      </c>
      <c r="F7" s="24">
        <v>75</v>
      </c>
      <c r="G7" s="8">
        <v>0.8</v>
      </c>
      <c r="H7" s="8">
        <v>9</v>
      </c>
      <c r="I7" s="8">
        <v>10</v>
      </c>
      <c r="J7" s="63">
        <v>18</v>
      </c>
      <c r="K7" s="63">
        <v>2</v>
      </c>
      <c r="L7" s="9" t="s">
        <v>28</v>
      </c>
      <c r="M7" s="10" t="s">
        <v>34</v>
      </c>
      <c r="N7" s="10" t="s">
        <v>19</v>
      </c>
      <c r="O7" s="10" t="s">
        <v>174</v>
      </c>
      <c r="P7" s="11">
        <v>45691</v>
      </c>
    </row>
    <row r="8" spans="2:17" ht="17" thickBot="1">
      <c r="B8" s="6" t="s">
        <v>175</v>
      </c>
      <c r="C8" s="6" t="s">
        <v>176</v>
      </c>
      <c r="D8" s="7" t="s">
        <v>177</v>
      </c>
      <c r="E8" s="7" t="s">
        <v>178</v>
      </c>
      <c r="F8" s="24">
        <v>310</v>
      </c>
      <c r="G8" s="8">
        <v>5.2</v>
      </c>
      <c r="H8" s="8">
        <v>20</v>
      </c>
      <c r="I8" s="8">
        <v>3</v>
      </c>
      <c r="J8" s="63">
        <v>9</v>
      </c>
      <c r="K8" s="63">
        <v>2</v>
      </c>
      <c r="L8" s="9" t="s">
        <v>17</v>
      </c>
      <c r="M8" s="10" t="s">
        <v>24</v>
      </c>
      <c r="N8" s="10" t="s">
        <v>19</v>
      </c>
      <c r="O8" s="10" t="s">
        <v>179</v>
      </c>
      <c r="P8" s="11">
        <v>45692</v>
      </c>
    </row>
    <row r="9" spans="2:17" ht="17" thickBot="1">
      <c r="B9" s="6" t="s">
        <v>180</v>
      </c>
      <c r="C9" s="6" t="s">
        <v>181</v>
      </c>
      <c r="D9" s="7" t="s">
        <v>177</v>
      </c>
      <c r="E9" s="7" t="s">
        <v>178</v>
      </c>
      <c r="F9" s="24">
        <v>420</v>
      </c>
      <c r="G9" s="8">
        <v>18</v>
      </c>
      <c r="H9" s="8">
        <v>25</v>
      </c>
      <c r="I9" s="8">
        <v>2</v>
      </c>
      <c r="J9" s="63">
        <v>4</v>
      </c>
      <c r="K9" s="63">
        <v>1</v>
      </c>
      <c r="L9" s="9" t="s">
        <v>23</v>
      </c>
      <c r="M9" s="10" t="s">
        <v>29</v>
      </c>
      <c r="N9" s="10" t="s">
        <v>19</v>
      </c>
      <c r="O9" s="10" t="s">
        <v>182</v>
      </c>
      <c r="P9" s="11">
        <v>45693</v>
      </c>
    </row>
    <row r="10" spans="2:17" ht="17" thickBot="1">
      <c r="B10" s="6" t="s">
        <v>183</v>
      </c>
      <c r="C10" s="6" t="s">
        <v>184</v>
      </c>
      <c r="D10" s="7" t="s">
        <v>177</v>
      </c>
      <c r="E10" s="7" t="s">
        <v>178</v>
      </c>
      <c r="F10" s="24">
        <v>980</v>
      </c>
      <c r="G10" s="8">
        <v>45</v>
      </c>
      <c r="H10" s="8">
        <v>30</v>
      </c>
      <c r="I10" s="8">
        <v>1</v>
      </c>
      <c r="J10" s="63">
        <v>2</v>
      </c>
      <c r="K10" s="63">
        <v>1</v>
      </c>
      <c r="L10" s="9" t="s">
        <v>28</v>
      </c>
      <c r="M10" s="10" t="s">
        <v>34</v>
      </c>
      <c r="N10" s="10" t="s">
        <v>19</v>
      </c>
      <c r="O10" s="10" t="s">
        <v>185</v>
      </c>
      <c r="P10" s="11">
        <v>45694</v>
      </c>
    </row>
    <row r="11" spans="2:17" ht="17" thickBot="1">
      <c r="B11" s="6" t="s">
        <v>186</v>
      </c>
      <c r="C11" s="6" t="s">
        <v>187</v>
      </c>
      <c r="D11" s="7" t="s">
        <v>188</v>
      </c>
      <c r="E11" s="7" t="s">
        <v>189</v>
      </c>
      <c r="F11" s="24">
        <v>1650</v>
      </c>
      <c r="G11" s="8">
        <v>9.5</v>
      </c>
      <c r="H11" s="8">
        <v>35</v>
      </c>
      <c r="I11" s="8">
        <v>1</v>
      </c>
      <c r="J11" s="63">
        <v>2</v>
      </c>
      <c r="K11" s="63">
        <v>1</v>
      </c>
      <c r="L11" s="9" t="s">
        <v>17</v>
      </c>
      <c r="M11" s="10" t="s">
        <v>18</v>
      </c>
      <c r="N11" s="10" t="s">
        <v>19</v>
      </c>
      <c r="O11" s="10" t="s">
        <v>190</v>
      </c>
      <c r="P11" s="11">
        <v>45695</v>
      </c>
    </row>
    <row r="12" spans="2:17" ht="17" thickBot="1">
      <c r="B12" s="6" t="s">
        <v>191</v>
      </c>
      <c r="C12" s="6" t="s">
        <v>192</v>
      </c>
      <c r="D12" s="7" t="s">
        <v>188</v>
      </c>
      <c r="E12" s="7" t="s">
        <v>189</v>
      </c>
      <c r="F12" s="24">
        <v>721</v>
      </c>
      <c r="G12" s="8">
        <v>14</v>
      </c>
      <c r="H12" s="8">
        <v>28</v>
      </c>
      <c r="I12" s="8">
        <v>1</v>
      </c>
      <c r="J12" s="63">
        <v>2</v>
      </c>
      <c r="K12" s="63">
        <v>2</v>
      </c>
      <c r="L12" s="9" t="s">
        <v>23</v>
      </c>
      <c r="M12" s="10" t="s">
        <v>38</v>
      </c>
      <c r="N12" s="10" t="s">
        <v>19</v>
      </c>
      <c r="O12" s="10" t="s">
        <v>193</v>
      </c>
      <c r="P12" s="11">
        <v>46071</v>
      </c>
    </row>
    <row r="13" spans="2:17" ht="17" thickBot="1">
      <c r="B13" s="6" t="s">
        <v>194</v>
      </c>
      <c r="C13" s="6" t="s">
        <v>195</v>
      </c>
      <c r="D13" s="7" t="s">
        <v>196</v>
      </c>
      <c r="E13" s="7" t="s">
        <v>197</v>
      </c>
      <c r="F13" s="24">
        <v>540</v>
      </c>
      <c r="G13" s="8">
        <v>6.5</v>
      </c>
      <c r="H13" s="8">
        <v>22</v>
      </c>
      <c r="I13" s="8">
        <v>2</v>
      </c>
      <c r="J13" s="63">
        <v>44</v>
      </c>
      <c r="K13" s="63">
        <v>1</v>
      </c>
      <c r="L13" s="9" t="s">
        <v>28</v>
      </c>
      <c r="M13" s="10" t="s">
        <v>29</v>
      </c>
      <c r="N13" s="10" t="s">
        <v>19</v>
      </c>
      <c r="O13" s="10" t="s">
        <v>198</v>
      </c>
      <c r="P13" s="11">
        <v>45697</v>
      </c>
    </row>
    <row r="14" spans="2:17" ht="17" thickBot="1">
      <c r="B14" s="6" t="s">
        <v>199</v>
      </c>
      <c r="C14" s="6" t="s">
        <v>200</v>
      </c>
      <c r="D14" s="7" t="s">
        <v>196</v>
      </c>
      <c r="E14" s="7" t="s">
        <v>201</v>
      </c>
      <c r="F14" s="24">
        <v>395</v>
      </c>
      <c r="G14" s="8">
        <v>8.1</v>
      </c>
      <c r="H14" s="8">
        <v>18</v>
      </c>
      <c r="I14" s="8">
        <v>3</v>
      </c>
      <c r="J14" s="63">
        <v>6</v>
      </c>
      <c r="K14" s="63">
        <v>1</v>
      </c>
      <c r="L14" s="9" t="s">
        <v>17</v>
      </c>
      <c r="M14" s="10" t="s">
        <v>34</v>
      </c>
      <c r="N14" s="10" t="s">
        <v>19</v>
      </c>
      <c r="O14" s="10" t="s">
        <v>202</v>
      </c>
      <c r="P14" s="11">
        <v>45698</v>
      </c>
    </row>
    <row r="15" spans="2:17" ht="17" thickBot="1">
      <c r="B15" s="6" t="s">
        <v>203</v>
      </c>
      <c r="C15" s="6" t="s">
        <v>204</v>
      </c>
      <c r="D15" s="7" t="s">
        <v>205</v>
      </c>
      <c r="E15" s="7" t="s">
        <v>206</v>
      </c>
      <c r="F15" s="24">
        <v>480</v>
      </c>
      <c r="G15" s="8">
        <v>7.4</v>
      </c>
      <c r="H15" s="8">
        <v>26</v>
      </c>
      <c r="I15" s="8">
        <v>2</v>
      </c>
      <c r="J15" s="63">
        <v>2</v>
      </c>
      <c r="K15" s="63">
        <v>2</v>
      </c>
      <c r="L15" s="9" t="s">
        <v>23</v>
      </c>
      <c r="M15" s="10" t="s">
        <v>24</v>
      </c>
      <c r="N15" s="10" t="s">
        <v>19</v>
      </c>
      <c r="O15" s="10" t="s">
        <v>207</v>
      </c>
      <c r="P15" s="11">
        <v>45699</v>
      </c>
    </row>
    <row r="16" spans="2:17" ht="17" thickBot="1">
      <c r="B16" s="6" t="s">
        <v>208</v>
      </c>
      <c r="C16" s="6" t="s">
        <v>209</v>
      </c>
      <c r="D16" s="7" t="s">
        <v>205</v>
      </c>
      <c r="E16" s="7" t="s">
        <v>210</v>
      </c>
      <c r="F16" s="24">
        <v>720</v>
      </c>
      <c r="G16" s="8">
        <v>12</v>
      </c>
      <c r="H16" s="8">
        <v>30</v>
      </c>
      <c r="I16" s="8">
        <v>1</v>
      </c>
      <c r="J16" s="63">
        <v>2</v>
      </c>
      <c r="K16" s="63">
        <v>2</v>
      </c>
      <c r="L16" s="9" t="s">
        <v>28</v>
      </c>
      <c r="M16" s="10" t="s">
        <v>211</v>
      </c>
      <c r="N16" s="10" t="s">
        <v>19</v>
      </c>
      <c r="O16" s="10" t="s">
        <v>212</v>
      </c>
      <c r="P16" s="11">
        <v>45700</v>
      </c>
    </row>
    <row r="17" spans="2:16" ht="17" thickBot="1">
      <c r="B17" s="6" t="s">
        <v>213</v>
      </c>
      <c r="C17" s="6" t="s">
        <v>214</v>
      </c>
      <c r="D17" s="7" t="s">
        <v>177</v>
      </c>
      <c r="E17" s="7" t="s">
        <v>215</v>
      </c>
      <c r="F17" s="24">
        <v>1350</v>
      </c>
      <c r="G17" s="8">
        <v>2.2999999999999998</v>
      </c>
      <c r="H17" s="8">
        <v>32</v>
      </c>
      <c r="I17" s="8">
        <v>1</v>
      </c>
      <c r="J17" s="63">
        <v>2</v>
      </c>
      <c r="K17" s="63">
        <v>2</v>
      </c>
      <c r="L17" s="9" t="s">
        <v>17</v>
      </c>
      <c r="M17" s="10" t="s">
        <v>24</v>
      </c>
      <c r="N17" s="10" t="s">
        <v>19</v>
      </c>
      <c r="O17" s="10" t="s">
        <v>216</v>
      </c>
      <c r="P17" s="11">
        <v>45701</v>
      </c>
    </row>
    <row r="18" spans="2:16" ht="17" thickBot="1">
      <c r="B18" s="6" t="s">
        <v>217</v>
      </c>
      <c r="C18" s="6" t="s">
        <v>218</v>
      </c>
      <c r="D18" s="7" t="s">
        <v>177</v>
      </c>
      <c r="E18" s="7" t="s">
        <v>219</v>
      </c>
      <c r="F18" s="24">
        <v>890</v>
      </c>
      <c r="G18" s="8">
        <v>38</v>
      </c>
      <c r="H18" s="8">
        <v>27</v>
      </c>
      <c r="I18" s="8">
        <v>1</v>
      </c>
      <c r="J18" s="63">
        <v>2</v>
      </c>
      <c r="K18" s="63">
        <v>2</v>
      </c>
      <c r="L18" s="9" t="s">
        <v>23</v>
      </c>
      <c r="M18" s="10" t="s">
        <v>29</v>
      </c>
      <c r="N18" s="10" t="s">
        <v>19</v>
      </c>
      <c r="O18" s="10" t="s">
        <v>220</v>
      </c>
      <c r="P18" s="11">
        <v>45702</v>
      </c>
    </row>
    <row r="19" spans="2:16" ht="17" thickBot="1">
      <c r="B19" s="6" t="s">
        <v>221</v>
      </c>
      <c r="C19" s="6" t="s">
        <v>222</v>
      </c>
      <c r="D19" s="7" t="s">
        <v>177</v>
      </c>
      <c r="E19" s="7" t="s">
        <v>219</v>
      </c>
      <c r="F19" s="24">
        <v>640</v>
      </c>
      <c r="G19" s="8">
        <v>26</v>
      </c>
      <c r="H19" s="8">
        <v>24</v>
      </c>
      <c r="I19" s="8">
        <v>2</v>
      </c>
      <c r="J19" s="63">
        <v>4</v>
      </c>
      <c r="K19" s="63">
        <v>2</v>
      </c>
      <c r="L19" s="9" t="s">
        <v>28</v>
      </c>
      <c r="M19" s="10" t="s">
        <v>29</v>
      </c>
      <c r="N19" s="10" t="s">
        <v>19</v>
      </c>
      <c r="O19" s="10" t="s">
        <v>223</v>
      </c>
      <c r="P19" s="11">
        <v>45703</v>
      </c>
    </row>
    <row r="20" spans="2:16" ht="17" thickBot="1">
      <c r="B20" s="6" t="s">
        <v>224</v>
      </c>
      <c r="C20" s="6" t="s">
        <v>225</v>
      </c>
      <c r="D20" s="7" t="s">
        <v>226</v>
      </c>
      <c r="E20" s="7" t="s">
        <v>173</v>
      </c>
      <c r="F20" s="24">
        <v>520</v>
      </c>
      <c r="G20" s="8">
        <v>55</v>
      </c>
      <c r="H20" s="8">
        <v>20</v>
      </c>
      <c r="I20" s="8">
        <v>2</v>
      </c>
      <c r="J20" s="63">
        <v>4</v>
      </c>
      <c r="K20" s="63">
        <v>2</v>
      </c>
      <c r="L20" s="9" t="s">
        <v>17</v>
      </c>
      <c r="M20" s="10" t="s">
        <v>24</v>
      </c>
      <c r="N20" s="10" t="s">
        <v>19</v>
      </c>
      <c r="O20" s="10" t="s">
        <v>227</v>
      </c>
      <c r="P20" s="11">
        <v>45704</v>
      </c>
    </row>
    <row r="21" spans="2:16" ht="17" thickBot="1">
      <c r="B21" s="6" t="s">
        <v>228</v>
      </c>
      <c r="C21" s="6" t="s">
        <v>229</v>
      </c>
      <c r="D21" s="7" t="s">
        <v>226</v>
      </c>
      <c r="E21" s="7" t="s">
        <v>230</v>
      </c>
      <c r="F21" s="24">
        <v>185</v>
      </c>
      <c r="G21" s="8">
        <v>6.8</v>
      </c>
      <c r="H21" s="8">
        <v>14</v>
      </c>
      <c r="I21" s="8">
        <v>5</v>
      </c>
      <c r="J21" s="63">
        <v>10</v>
      </c>
      <c r="K21" s="63">
        <v>2</v>
      </c>
      <c r="L21" s="9" t="s">
        <v>23</v>
      </c>
      <c r="M21" s="10" t="s">
        <v>18</v>
      </c>
      <c r="N21" s="10" t="s">
        <v>19</v>
      </c>
      <c r="O21" s="10" t="s">
        <v>231</v>
      </c>
      <c r="P21" s="11">
        <v>45705</v>
      </c>
    </row>
  </sheetData>
  <sheetProtection sheet="1" objects="1" scenarios="1"/>
  <mergeCells count="3">
    <mergeCell ref="B2:E3"/>
    <mergeCell ref="F2:I3"/>
    <mergeCell ref="J2:O3"/>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E697E-4D3B-E14E-B47A-5BC27E2E58EE}">
  <sheetPr codeName="Sheet6">
    <tabColor theme="8" tint="0.79998168889431442"/>
  </sheetPr>
  <dimension ref="C2:L48"/>
  <sheetViews>
    <sheetView showGridLines="0" topLeftCell="A9" workbookViewId="0">
      <selection activeCell="L26" sqref="L26"/>
    </sheetView>
  </sheetViews>
  <sheetFormatPr baseColWidth="10" defaultRowHeight="16"/>
  <cols>
    <col min="2" max="2" width="10.1640625" bestFit="1" customWidth="1"/>
    <col min="3" max="3" width="14.33203125" bestFit="1" customWidth="1"/>
    <col min="7" max="7" width="14.33203125" bestFit="1" customWidth="1"/>
    <col min="8" max="8" width="32.33203125" bestFit="1" customWidth="1"/>
    <col min="9" max="10" width="23.5" bestFit="1" customWidth="1"/>
  </cols>
  <sheetData>
    <row r="2" spans="7:10" ht="17" thickBot="1"/>
    <row r="3" spans="7:10" ht="17" customHeight="1">
      <c r="G3" s="84" t="s">
        <v>240</v>
      </c>
      <c r="H3" s="85"/>
      <c r="I3" s="85"/>
      <c r="J3" s="86"/>
    </row>
    <row r="4" spans="7:10" ht="17" customHeight="1" thickBot="1">
      <c r="G4" s="87"/>
      <c r="H4" s="88"/>
      <c r="I4" s="88"/>
      <c r="J4" s="89"/>
    </row>
    <row r="5" spans="7:10" ht="21" thickBot="1">
      <c r="G5" s="22" t="s">
        <v>248</v>
      </c>
      <c r="H5" s="23" t="s">
        <v>258</v>
      </c>
      <c r="I5" s="18" t="s">
        <v>0</v>
      </c>
      <c r="J5" s="16" t="s">
        <v>241</v>
      </c>
    </row>
    <row r="6" spans="7:10" ht="17" thickBot="1">
      <c r="G6" s="21" t="s">
        <v>242</v>
      </c>
      <c r="H6" s="21" t="s">
        <v>245</v>
      </c>
      <c r="I6" s="21" t="s">
        <v>13</v>
      </c>
      <c r="J6" s="64">
        <v>5</v>
      </c>
    </row>
    <row r="7" spans="7:10" ht="17" thickBot="1">
      <c r="G7" s="21" t="s">
        <v>242</v>
      </c>
      <c r="H7" s="21" t="s">
        <v>245</v>
      </c>
      <c r="I7" s="21" t="s">
        <v>40</v>
      </c>
      <c r="J7" s="64">
        <v>5</v>
      </c>
    </row>
    <row r="8" spans="7:10" ht="17" thickBot="1">
      <c r="G8" s="21" t="s">
        <v>242</v>
      </c>
      <c r="H8" s="21" t="s">
        <v>245</v>
      </c>
      <c r="I8" s="21" t="s">
        <v>59</v>
      </c>
      <c r="J8" s="64">
        <v>5</v>
      </c>
    </row>
    <row r="9" spans="7:10" ht="17" thickBot="1">
      <c r="G9" s="21" t="s">
        <v>242</v>
      </c>
      <c r="H9" s="21" t="s">
        <v>245</v>
      </c>
      <c r="I9" s="21" t="s">
        <v>112</v>
      </c>
      <c r="J9" s="64">
        <v>5</v>
      </c>
    </row>
    <row r="10" spans="7:10" ht="17" thickBot="1">
      <c r="G10" s="21" t="s">
        <v>242</v>
      </c>
      <c r="H10" s="21" t="s">
        <v>245</v>
      </c>
      <c r="I10" s="21" t="s">
        <v>162</v>
      </c>
      <c r="J10" s="64">
        <v>5</v>
      </c>
    </row>
    <row r="11" spans="7:10" ht="17" thickBot="1">
      <c r="G11" s="21" t="s">
        <v>242</v>
      </c>
      <c r="H11" s="21" t="s">
        <v>245</v>
      </c>
      <c r="I11" s="21" t="s">
        <v>87</v>
      </c>
      <c r="J11" s="64">
        <v>5</v>
      </c>
    </row>
    <row r="12" spans="7:10" ht="17" thickBot="1">
      <c r="G12" s="21" t="s">
        <v>243</v>
      </c>
      <c r="H12" s="21" t="s">
        <v>246</v>
      </c>
      <c r="I12" s="21" t="s">
        <v>175</v>
      </c>
      <c r="J12" s="64">
        <v>1</v>
      </c>
    </row>
    <row r="13" spans="7:10" ht="17" thickBot="1">
      <c r="G13" s="21" t="s">
        <v>243</v>
      </c>
      <c r="H13" s="21" t="s">
        <v>246</v>
      </c>
      <c r="I13" s="21" t="s">
        <v>180</v>
      </c>
      <c r="J13" s="64">
        <v>1</v>
      </c>
    </row>
    <row r="14" spans="7:10" ht="17" thickBot="1">
      <c r="G14" s="21" t="s">
        <v>243</v>
      </c>
      <c r="H14" s="21" t="s">
        <v>246</v>
      </c>
      <c r="I14" s="21" t="s">
        <v>217</v>
      </c>
      <c r="J14" s="64">
        <v>1</v>
      </c>
    </row>
    <row r="15" spans="7:10" ht="17" thickBot="1">
      <c r="G15" s="21" t="s">
        <v>243</v>
      </c>
      <c r="H15" s="21" t="s">
        <v>246</v>
      </c>
      <c r="I15" s="21" t="s">
        <v>146</v>
      </c>
      <c r="J15" s="64">
        <v>1</v>
      </c>
    </row>
    <row r="16" spans="7:10" ht="17" thickBot="1">
      <c r="G16" s="21" t="s">
        <v>243</v>
      </c>
      <c r="H16" s="21" t="s">
        <v>246</v>
      </c>
      <c r="I16" s="21" t="s">
        <v>134</v>
      </c>
      <c r="J16" s="64">
        <v>1</v>
      </c>
    </row>
    <row r="17" spans="3:12" ht="17" thickBot="1">
      <c r="G17" s="21" t="s">
        <v>243</v>
      </c>
      <c r="H17" s="21" t="s">
        <v>246</v>
      </c>
      <c r="I17" s="21" t="s">
        <v>127</v>
      </c>
      <c r="J17" s="64">
        <v>1</v>
      </c>
    </row>
    <row r="18" spans="3:12" ht="17" thickBot="1">
      <c r="G18" s="21" t="s">
        <v>244</v>
      </c>
      <c r="H18" s="21" t="s">
        <v>247</v>
      </c>
      <c r="I18" s="21" t="s">
        <v>186</v>
      </c>
      <c r="J18" s="64">
        <v>0</v>
      </c>
    </row>
    <row r="19" spans="3:12" ht="17" thickBot="1">
      <c r="G19" s="21" t="s">
        <v>244</v>
      </c>
      <c r="H19" s="21" t="s">
        <v>247</v>
      </c>
      <c r="I19" s="21" t="s">
        <v>191</v>
      </c>
      <c r="J19" s="64">
        <v>0</v>
      </c>
    </row>
    <row r="20" spans="3:12" ht="17" thickBot="1">
      <c r="G20" s="21" t="s">
        <v>244</v>
      </c>
      <c r="H20" s="21" t="s">
        <v>247</v>
      </c>
      <c r="I20" s="21" t="s">
        <v>149</v>
      </c>
      <c r="J20" s="64">
        <v>0</v>
      </c>
    </row>
    <row r="21" spans="3:12" ht="17" thickBot="1">
      <c r="G21" s="21" t="s">
        <v>244</v>
      </c>
      <c r="H21" s="21" t="s">
        <v>247</v>
      </c>
      <c r="I21" s="21" t="s">
        <v>143</v>
      </c>
      <c r="J21" s="64">
        <v>0</v>
      </c>
    </row>
    <row r="22" spans="3:12" ht="17" thickBot="1">
      <c r="G22" s="21" t="s">
        <v>244</v>
      </c>
      <c r="H22" s="21" t="s">
        <v>247</v>
      </c>
      <c r="I22" s="21" t="s">
        <v>137</v>
      </c>
      <c r="J22" s="64">
        <v>0</v>
      </c>
    </row>
    <row r="23" spans="3:12" ht="18" thickTop="1" thickBot="1">
      <c r="G23" s="21" t="s">
        <v>244</v>
      </c>
      <c r="H23" s="21" t="s">
        <v>247</v>
      </c>
      <c r="I23" s="21" t="s">
        <v>92</v>
      </c>
      <c r="J23" s="64">
        <v>0</v>
      </c>
      <c r="L23" s="20"/>
    </row>
    <row r="24" spans="3:12" ht="17" thickBot="1">
      <c r="G24" s="21" t="s">
        <v>249</v>
      </c>
      <c r="H24" s="21" t="s">
        <v>250</v>
      </c>
      <c r="I24" s="21" t="s">
        <v>26</v>
      </c>
      <c r="J24" s="64">
        <v>3</v>
      </c>
    </row>
    <row r="25" spans="3:12" ht="17" thickBot="1">
      <c r="G25" s="21" t="s">
        <v>249</v>
      </c>
      <c r="H25" s="21" t="s">
        <v>250</v>
      </c>
      <c r="I25" s="21" t="s">
        <v>31</v>
      </c>
      <c r="J25" s="64">
        <v>3</v>
      </c>
    </row>
    <row r="26" spans="3:12" ht="17" thickBot="1">
      <c r="G26" s="21" t="s">
        <v>249</v>
      </c>
      <c r="H26" s="21" t="s">
        <v>250</v>
      </c>
      <c r="I26" s="21" t="s">
        <v>44</v>
      </c>
      <c r="J26" s="64">
        <v>3</v>
      </c>
    </row>
    <row r="27" spans="3:12" ht="17" thickBot="1">
      <c r="G27" s="21" t="s">
        <v>249</v>
      </c>
      <c r="H27" s="21" t="s">
        <v>250</v>
      </c>
      <c r="I27" s="21" t="s">
        <v>59</v>
      </c>
      <c r="J27" s="64">
        <v>3</v>
      </c>
    </row>
    <row r="28" spans="3:12" ht="17" thickBot="1">
      <c r="G28" s="21" t="s">
        <v>249</v>
      </c>
      <c r="H28" s="21" t="s">
        <v>250</v>
      </c>
      <c r="I28" s="21" t="s">
        <v>92</v>
      </c>
      <c r="J28" s="64">
        <v>3</v>
      </c>
    </row>
    <row r="29" spans="3:12" ht="17" thickBot="1">
      <c r="G29" s="21" t="s">
        <v>249</v>
      </c>
      <c r="H29" s="21" t="s">
        <v>250</v>
      </c>
      <c r="I29" s="21" t="s">
        <v>87</v>
      </c>
      <c r="J29" s="64">
        <v>3</v>
      </c>
    </row>
    <row r="30" spans="3:12" ht="17" thickBot="1">
      <c r="G30" s="19" t="s">
        <v>251</v>
      </c>
      <c r="H30" s="21" t="s">
        <v>254</v>
      </c>
      <c r="I30" s="21" t="s">
        <v>56</v>
      </c>
      <c r="J30" s="64">
        <v>1</v>
      </c>
    </row>
    <row r="31" spans="3:12" ht="17" thickBot="1">
      <c r="C31" s="17"/>
      <c r="G31" s="19" t="s">
        <v>251</v>
      </c>
      <c r="H31" s="21" t="s">
        <v>254</v>
      </c>
      <c r="I31" s="21" t="s">
        <v>140</v>
      </c>
      <c r="J31" s="64">
        <v>1</v>
      </c>
    </row>
    <row r="32" spans="3:12" ht="17" thickBot="1">
      <c r="G32" s="19" t="s">
        <v>251</v>
      </c>
      <c r="H32" s="21" t="s">
        <v>254</v>
      </c>
      <c r="I32" s="21" t="s">
        <v>146</v>
      </c>
      <c r="J32" s="64">
        <v>1</v>
      </c>
    </row>
    <row r="33" spans="7:10" ht="17" thickBot="1">
      <c r="G33" s="19" t="s">
        <v>251</v>
      </c>
      <c r="H33" s="21" t="s">
        <v>254</v>
      </c>
      <c r="I33" s="21" t="s">
        <v>134</v>
      </c>
      <c r="J33" s="64">
        <v>1</v>
      </c>
    </row>
    <row r="34" spans="7:10" ht="17" thickBot="1">
      <c r="G34" s="19" t="s">
        <v>251</v>
      </c>
      <c r="H34" s="21" t="s">
        <v>254</v>
      </c>
      <c r="I34" s="21" t="s">
        <v>105</v>
      </c>
      <c r="J34" s="64">
        <v>1</v>
      </c>
    </row>
    <row r="35" spans="7:10" ht="17" thickBot="1">
      <c r="G35" s="19" t="s">
        <v>251</v>
      </c>
      <c r="H35" s="21" t="s">
        <v>254</v>
      </c>
      <c r="I35" s="21" t="s">
        <v>156</v>
      </c>
      <c r="J35" s="64">
        <v>1</v>
      </c>
    </row>
    <row r="36" spans="7:10" ht="17" thickBot="1">
      <c r="G36" s="19" t="s">
        <v>252</v>
      </c>
      <c r="H36" s="21" t="s">
        <v>255</v>
      </c>
      <c r="I36" s="21" t="s">
        <v>175</v>
      </c>
      <c r="J36" s="64">
        <v>7</v>
      </c>
    </row>
    <row r="37" spans="7:10" ht="17" thickBot="1">
      <c r="G37" s="19" t="s">
        <v>252</v>
      </c>
      <c r="H37" s="21" t="s">
        <v>255</v>
      </c>
      <c r="I37" s="21" t="s">
        <v>180</v>
      </c>
      <c r="J37" s="64">
        <v>7</v>
      </c>
    </row>
    <row r="38" spans="7:10" ht="17" thickBot="1">
      <c r="G38" s="19" t="s">
        <v>252</v>
      </c>
      <c r="H38" s="21" t="s">
        <v>255</v>
      </c>
      <c r="I38" s="21" t="s">
        <v>96</v>
      </c>
      <c r="J38" s="64">
        <v>7</v>
      </c>
    </row>
    <row r="39" spans="7:10" ht="17" thickBot="1">
      <c r="G39" s="19" t="s">
        <v>252</v>
      </c>
      <c r="H39" s="21" t="s">
        <v>255</v>
      </c>
      <c r="I39" s="21" t="s">
        <v>59</v>
      </c>
      <c r="J39" s="64">
        <v>7</v>
      </c>
    </row>
    <row r="40" spans="7:10" ht="17" thickBot="1">
      <c r="G40" s="19" t="s">
        <v>252</v>
      </c>
      <c r="H40" s="21" t="s">
        <v>255</v>
      </c>
      <c r="I40" s="21" t="s">
        <v>123</v>
      </c>
      <c r="J40" s="64">
        <v>7</v>
      </c>
    </row>
    <row r="41" spans="7:10" ht="17" thickBot="1">
      <c r="G41" s="19" t="s">
        <v>252</v>
      </c>
      <c r="H41" s="21" t="s">
        <v>255</v>
      </c>
      <c r="I41" s="21" t="s">
        <v>152</v>
      </c>
      <c r="J41" s="64">
        <v>7</v>
      </c>
    </row>
    <row r="42" spans="7:10" ht="17" thickBot="1">
      <c r="G42" s="19" t="s">
        <v>253</v>
      </c>
      <c r="H42" s="21" t="s">
        <v>256</v>
      </c>
      <c r="I42" s="19" t="s">
        <v>208</v>
      </c>
      <c r="J42" s="64">
        <v>1</v>
      </c>
    </row>
    <row r="43" spans="7:10" ht="17" thickBot="1">
      <c r="G43" s="19" t="s">
        <v>253</v>
      </c>
      <c r="H43" s="21" t="s">
        <v>256</v>
      </c>
      <c r="I43" s="19" t="s">
        <v>213</v>
      </c>
      <c r="J43" s="64">
        <v>1</v>
      </c>
    </row>
    <row r="44" spans="7:10" ht="17" thickBot="1">
      <c r="G44" s="19" t="s">
        <v>253</v>
      </c>
      <c r="H44" s="21" t="s">
        <v>256</v>
      </c>
      <c r="I44" s="19" t="s">
        <v>221</v>
      </c>
      <c r="J44" s="64">
        <v>1</v>
      </c>
    </row>
    <row r="45" spans="7:10" ht="17" thickBot="1">
      <c r="G45" s="19" t="s">
        <v>253</v>
      </c>
      <c r="H45" s="21" t="s">
        <v>256</v>
      </c>
      <c r="I45" s="19" t="s">
        <v>162</v>
      </c>
      <c r="J45" s="64">
        <v>1</v>
      </c>
    </row>
    <row r="46" spans="7:10" ht="17" thickBot="1">
      <c r="G46" s="19" t="s">
        <v>253</v>
      </c>
      <c r="H46" s="21" t="s">
        <v>256</v>
      </c>
      <c r="I46" s="19" t="s">
        <v>143</v>
      </c>
      <c r="J46" s="64">
        <v>1</v>
      </c>
    </row>
    <row r="47" spans="7:10" ht="17" thickBot="1">
      <c r="G47" s="19" t="s">
        <v>253</v>
      </c>
      <c r="H47" s="21" t="s">
        <v>256</v>
      </c>
      <c r="I47" s="19" t="s">
        <v>87</v>
      </c>
      <c r="J47" s="64">
        <v>1</v>
      </c>
    </row>
    <row r="48" spans="7:10" ht="17" thickBot="1">
      <c r="G48" s="19" t="s">
        <v>253</v>
      </c>
      <c r="H48" s="21" t="s">
        <v>256</v>
      </c>
      <c r="I48" s="19" t="s">
        <v>44</v>
      </c>
      <c r="J48" s="64">
        <v>1</v>
      </c>
    </row>
  </sheetData>
  <sheetProtection sheet="1" objects="1" scenarios="1"/>
  <mergeCells count="1">
    <mergeCell ref="G3:J4"/>
  </mergeCells>
  <phoneticPr fontId="4" type="noConversion"/>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B7F41-40DA-9346-A701-EF94BB3D8E30}">
  <sheetPr codeName="Sheet5">
    <tabColor rgb="FFFBDA82"/>
  </sheetPr>
  <dimension ref="B2:J31"/>
  <sheetViews>
    <sheetView showGridLines="0" zoomScale="60" workbookViewId="0">
      <selection activeCell="E35" sqref="E35"/>
    </sheetView>
  </sheetViews>
  <sheetFormatPr baseColWidth="10" defaultRowHeight="17" thickBottom="1"/>
  <cols>
    <col min="1" max="1" width="10.83203125" style="17"/>
    <col min="2" max="2" width="42.5" style="17" bestFit="1" customWidth="1"/>
    <col min="3" max="3" width="66" style="17" bestFit="1" customWidth="1"/>
    <col min="4" max="4" width="36.33203125" style="17" bestFit="1" customWidth="1"/>
    <col min="5" max="5" width="66.5" style="17" bestFit="1" customWidth="1"/>
    <col min="6" max="6" width="34.1640625" style="17" bestFit="1" customWidth="1"/>
    <col min="7" max="7" width="38.33203125" style="41" bestFit="1" customWidth="1"/>
    <col min="8" max="8" width="20" style="41" bestFit="1" customWidth="1"/>
    <col min="9" max="9" width="24.5" style="17" bestFit="1" customWidth="1"/>
    <col min="10" max="10" width="29.1640625" style="17" bestFit="1" customWidth="1"/>
    <col min="11" max="16384" width="10.83203125" style="17"/>
  </cols>
  <sheetData>
    <row r="2" spans="2:10" thickBot="1">
      <c r="B2" s="59" t="s">
        <v>262</v>
      </c>
      <c r="D2" s="59" t="s">
        <v>263</v>
      </c>
    </row>
    <row r="3" spans="2:10" s="30" customFormat="1" ht="35" thickBot="1">
      <c r="B3" s="31" t="s">
        <v>257</v>
      </c>
      <c r="C3" s="50" t="s">
        <v>261</v>
      </c>
      <c r="D3" s="31" t="s">
        <v>235</v>
      </c>
      <c r="E3" s="50" t="s">
        <v>260</v>
      </c>
      <c r="F3" s="50" t="s">
        <v>241</v>
      </c>
      <c r="G3" s="62" t="s">
        <v>266</v>
      </c>
      <c r="H3" s="32"/>
    </row>
    <row r="4" spans="2:10" s="33" customFormat="1" ht="28" thickBot="1">
      <c r="B4" s="35" t="s">
        <v>246</v>
      </c>
      <c r="C4" s="51">
        <f>17.86*(7)*Global_Production_Volume</f>
        <v>625.1</v>
      </c>
      <c r="D4" s="65">
        <v>5</v>
      </c>
      <c r="E4" s="52" t="str">
        <f>IF(SUM(table_BOM[Total_Cost],table_explicit_items[Total_Cost])=0, "", SUM(table_BOM[Total_Cost],table_explicit_items[Total_Cost]))</f>
        <v/>
      </c>
      <c r="F4" s="34">
        <f>IF(B4="","",_xlfn.LET(_xlpm.qty, IFERROR(_xlfn.XLOOKUP(B4, table_product_list[Product_Name], table_product_list[On-Hand Quantity]), ""), IF(_xlpm.qty=0, 0, _xlpm.qty)))</f>
        <v>1</v>
      </c>
      <c r="G4" s="70">
        <v>0</v>
      </c>
      <c r="H4" s="36"/>
    </row>
    <row r="5" spans="2:10" s="37" customFormat="1" ht="34" thickBot="1"/>
    <row r="6" spans="2:10" thickBot="1">
      <c r="E6" s="59" t="s">
        <v>263</v>
      </c>
    </row>
    <row r="7" spans="2:10" ht="23" thickBot="1">
      <c r="B7" s="38" t="s">
        <v>0</v>
      </c>
      <c r="C7" s="38" t="s">
        <v>1</v>
      </c>
      <c r="D7" s="53" t="s">
        <v>236</v>
      </c>
      <c r="E7" s="39" t="s">
        <v>238</v>
      </c>
      <c r="F7" s="39" t="s">
        <v>237</v>
      </c>
      <c r="G7" s="40" t="s">
        <v>2</v>
      </c>
      <c r="H7" s="40" t="s">
        <v>267</v>
      </c>
      <c r="I7" s="39" t="s">
        <v>239</v>
      </c>
      <c r="J7" s="66" t="s">
        <v>265</v>
      </c>
    </row>
    <row r="8" spans="2:10" ht="20" thickBot="1">
      <c r="B8" s="93"/>
      <c r="C8" s="94" t="str">
        <f>IF(OR(table_BOM[[#This Row],[Part_ID]]="",table_BOM[[#This Row],[Vendor]]="Not Found"),"",_xlfn.LET(_xlpm.Src,table_BOM[[#This Row],[Vendor]],_xlpm.Name,_xlfn.SWITCH(_xlpm.Src,"Vendor_A",_xlfn.XLOOKUP(table_BOM[[#This Row],[Part_ID]],table_vendor_a[Part_ID],table_vendor_a[Part_Name],""),"Vendor_B",_xlfn.XLOOKUP(table_BOM[[#This Row],[Part_ID]],table_vendor_b[Part_ID],table_vendor_b[Part_Name],""),"Vendor_C",_xlfn.XLOOKUP(table_BOM[[#This Row],[Part_ID]],table_vendor_c[Part_ID],table_vendor_c[Part_Name],""),""),IF(_xlpm.Name="","Not Found",_xlpm.Name)))</f>
        <v/>
      </c>
      <c r="D8" s="95" t="str">
        <f>IF(table_BOM[[#This Row],[Part_ID]]="","",_xlfn.LET(_xlpm.inA,ISNUMBER(MATCH(table_BOM[[#This Row],[Part_ID]],table_vendor_a[Part_ID],0)),_xlpm.inB,ISNUMBER(MATCH(table_BOM[[#This Row],[Part_ID]],table_vendor_b[Part_ID],0)),_xlpm.inC,ISNUMBER(MATCH(table_BOM[[#This Row],[Part_ID]],table_vendor_c[Part_ID],0)),_xlfn.SWITCH(TRUE,_xlpm.inA,"Vendor_A",_xlpm.inB,"Vendor_B",_xlpm.inC,"Vendor_C","Not Found")))</f>
        <v/>
      </c>
      <c r="E8" s="96"/>
      <c r="F8" s="95" t="str">
        <f>IF(table_BOM[[#This Row],[Part_ID]]="","",table_BOM[[#This Row],[Quantity_Per_Unit]]*Product_BOM!$D$4)</f>
        <v/>
      </c>
      <c r="G8" s="54" t="str">
        <f>IF(OR(table_BOM[[#This Row],[Part_ID]]="",table_BOM[[#This Row],[Vendor]]="Not Found"),"",_xlfn.LET(_xlpm.Src,table_BOM[[#This Row],[Vendor]],_xlpm.Price,_xlfn.SWITCH(_xlpm.Src,"Vendor_A",_xlfn.XLOOKUP(table_BOM[[#This Row],[Part_ID]],table_vendor_a[Part_ID],table_vendor_a[Unit_Price],0),"Vendor_B",_xlfn.XLOOKUP(table_BOM[[#This Row],[Part_ID]],table_vendor_b[Part_ID],table_vendor_b[Unit_Price],0),"Vendor_C",_xlfn.XLOOKUP(table_BOM[[#This Row],[Part_ID]],table_vendor_c[Part_ID],table_vendor_c[Unit_Price],0),0),IF(_xlpm.Price=0,"Price Missing",_xlpm.Price)))</f>
        <v/>
      </c>
      <c r="H8" s="97" t="str">
        <f>IF(OR(table_BOM[[#This Row],[Part_ID]]="", NOT(ISNUMBER(table_BOM[[#This Row],[Unit_Price]]))), "", table_BOM[[#This Row],[Total_Quantity]]*table_BOM[[#This Row],[Unit_Price]])</f>
        <v/>
      </c>
      <c r="I8" s="98">
        <f ca="1">IF(OR(table_BOM[[#This Row],[Part_ID]]="",table_BOM[[#This Row],[Vendor]]="Not Found"),0,IFERROR(_xlfn.XLOOKUP(table_BOM[[#This Row],[Part_ID]],INDIRECT("table_"&amp;LOWER(table_BOM[[#This Row],[Vendor]])&amp;"[Part_ID]"),INDIRECT("table_"&amp;LOWER(table_BOM[[#This Row],[Vendor]])&amp;"[Quantity_In_Stock]")),0))</f>
        <v>0</v>
      </c>
      <c r="J8" s="98">
        <f ca="1">IF(OR(table_BOM[[#This Row],[Part_ID]]="",table_BOM[[#This Row],[Vendor]]="Not Found"),0,IFERROR(_xlfn.XLOOKUP(table_BOM[[#This Row],[Part_ID]],INDIRECT("table_"&amp;LOWER(table_BOM[[#This Row],[Vendor]])&amp;"[Part_ID]"),INDIRECT("table_"&amp;LOWER(table_BOM[[#This Row],[Vendor]])&amp;"[Quantity_Per_Product]")),0))</f>
        <v>0</v>
      </c>
    </row>
    <row r="9" spans="2:10" ht="20" thickBot="1">
      <c r="B9" s="93"/>
      <c r="C9" s="94" t="str">
        <f>IF(OR(table_BOM[[#This Row],[Part_ID]]="",table_BOM[[#This Row],[Vendor]]="Not Found"),"",_xlfn.LET(_xlpm.Src,table_BOM[[#This Row],[Vendor]],_xlpm.Name,_xlfn.SWITCH(_xlpm.Src,"Vendor_A",_xlfn.XLOOKUP(table_BOM[[#This Row],[Part_ID]],table_vendor_a[Part_ID],table_vendor_a[Part_Name],""),"Vendor_B",_xlfn.XLOOKUP(table_BOM[[#This Row],[Part_ID]],table_vendor_b[Part_ID],table_vendor_b[Part_Name],""),"Vendor_C",_xlfn.XLOOKUP(table_BOM[[#This Row],[Part_ID]],table_vendor_c[Part_ID],table_vendor_c[Part_Name],""),""),IF(_xlpm.Name="","Not Found",_xlpm.Name)))</f>
        <v/>
      </c>
      <c r="D9" s="95" t="str">
        <f>IF(table_BOM[[#This Row],[Part_ID]]="","",_xlfn.LET(_xlpm.inA,ISNUMBER(MATCH(table_BOM[[#This Row],[Part_ID]],table_vendor_a[Part_ID],0)),_xlpm.inB,ISNUMBER(MATCH(table_BOM[[#This Row],[Part_ID]],table_vendor_b[Part_ID],0)),_xlpm.inC,ISNUMBER(MATCH(table_BOM[[#This Row],[Part_ID]],table_vendor_c[Part_ID],0)),_xlfn.SWITCH(TRUE,_xlpm.inA,"Vendor_A",_xlpm.inB,"Vendor_B",_xlpm.inC,"Vendor_C","Not Found")))</f>
        <v/>
      </c>
      <c r="E9" s="96"/>
      <c r="F9" s="95" t="str">
        <f>IF(table_BOM[[#This Row],[Part_ID]]="","",table_BOM[[#This Row],[Quantity_Per_Unit]]*Product_BOM!$D$4)</f>
        <v/>
      </c>
      <c r="G9" s="54" t="str">
        <f>IF(OR(table_BOM[[#This Row],[Part_ID]]="",table_BOM[[#This Row],[Vendor]]="Not Found"),"",_xlfn.LET(_xlpm.Src,table_BOM[[#This Row],[Vendor]],_xlpm.Price,_xlfn.SWITCH(_xlpm.Src,"Vendor_A",_xlfn.XLOOKUP(table_BOM[[#This Row],[Part_ID]],table_vendor_a[Part_ID],table_vendor_a[Unit_Price],0),"Vendor_B",_xlfn.XLOOKUP(table_BOM[[#This Row],[Part_ID]],table_vendor_b[Part_ID],table_vendor_b[Unit_Price],0),"Vendor_C",_xlfn.XLOOKUP(table_BOM[[#This Row],[Part_ID]],table_vendor_c[Part_ID],table_vendor_c[Unit_Price],0),0),IF(_xlpm.Price=0,"Price Missing",_xlpm.Price)))</f>
        <v/>
      </c>
      <c r="H9" s="97" t="str">
        <f>IF(OR(table_BOM[[#This Row],[Part_ID]]="", NOT(ISNUMBER(table_BOM[[#This Row],[Unit_Price]]))), "", table_BOM[[#This Row],[Total_Quantity]]*table_BOM[[#This Row],[Unit_Price]])</f>
        <v/>
      </c>
      <c r="I9" s="98">
        <f ca="1">IF(OR(table_BOM[[#This Row],[Part_ID]]="",table_BOM[[#This Row],[Vendor]]="Not Found"),0,IFERROR(_xlfn.XLOOKUP(table_BOM[[#This Row],[Part_ID]],INDIRECT("table_"&amp;LOWER(table_BOM[[#This Row],[Vendor]])&amp;"[Part_ID]"),INDIRECT("table_"&amp;LOWER(table_BOM[[#This Row],[Vendor]])&amp;"[Quantity_In_Stock]")),0))</f>
        <v>0</v>
      </c>
      <c r="J9" s="98">
        <f ca="1">IF(OR(table_BOM[[#This Row],[Part_ID]]="",table_BOM[[#This Row],[Vendor]]="Not Found"),0,IFERROR(_xlfn.XLOOKUP(table_BOM[[#This Row],[Part_ID]],INDIRECT("table_"&amp;LOWER(table_BOM[[#This Row],[Vendor]])&amp;"[Part_ID]"),INDIRECT("table_"&amp;LOWER(table_BOM[[#This Row],[Vendor]])&amp;"[Quantity_Per_Product]")),0))</f>
        <v>0</v>
      </c>
    </row>
    <row r="10" spans="2:10" ht="20" thickBot="1">
      <c r="B10" s="93"/>
      <c r="C10" s="94" t="str">
        <f>IF(OR(table_BOM[[#This Row],[Part_ID]]="",table_BOM[[#This Row],[Vendor]]="Not Found"),"",_xlfn.LET(_xlpm.Src,table_BOM[[#This Row],[Vendor]],_xlpm.Name,_xlfn.SWITCH(_xlpm.Src,"Vendor_A",_xlfn.XLOOKUP(table_BOM[[#This Row],[Part_ID]],table_vendor_a[Part_ID],table_vendor_a[Part_Name],""),"Vendor_B",_xlfn.XLOOKUP(table_BOM[[#This Row],[Part_ID]],table_vendor_b[Part_ID],table_vendor_b[Part_Name],""),"Vendor_C",_xlfn.XLOOKUP(table_BOM[[#This Row],[Part_ID]],table_vendor_c[Part_ID],table_vendor_c[Part_Name],""),""),IF(_xlpm.Name="","Not Found",_xlpm.Name)))</f>
        <v/>
      </c>
      <c r="D10" s="95" t="str">
        <f>IF(table_BOM[[#This Row],[Part_ID]]="","",_xlfn.LET(_xlpm.inA,ISNUMBER(MATCH(table_BOM[[#This Row],[Part_ID]],table_vendor_a[Part_ID],0)),_xlpm.inB,ISNUMBER(MATCH(table_BOM[[#This Row],[Part_ID]],table_vendor_b[Part_ID],0)),_xlpm.inC,ISNUMBER(MATCH(table_BOM[[#This Row],[Part_ID]],table_vendor_c[Part_ID],0)),_xlfn.SWITCH(TRUE,_xlpm.inA,"Vendor_A",_xlpm.inB,"Vendor_B",_xlpm.inC,"Vendor_C","Not Found")))</f>
        <v/>
      </c>
      <c r="E10" s="96"/>
      <c r="F10" s="95" t="str">
        <f>IF(table_BOM[[#This Row],[Part_ID]]="","",table_BOM[[#This Row],[Quantity_Per_Unit]]*Product_BOM!$D$4)</f>
        <v/>
      </c>
      <c r="G10" s="54" t="str">
        <f>IF(OR(table_BOM[[#This Row],[Part_ID]]="",table_BOM[[#This Row],[Vendor]]="Not Found"),"",_xlfn.LET(_xlpm.Src,table_BOM[[#This Row],[Vendor]],_xlpm.Price,_xlfn.SWITCH(_xlpm.Src,"Vendor_A",_xlfn.XLOOKUP(table_BOM[[#This Row],[Part_ID]],table_vendor_a[Part_ID],table_vendor_a[Unit_Price],0),"Vendor_B",_xlfn.XLOOKUP(table_BOM[[#This Row],[Part_ID]],table_vendor_b[Part_ID],table_vendor_b[Unit_Price],0),"Vendor_C",_xlfn.XLOOKUP(table_BOM[[#This Row],[Part_ID]],table_vendor_c[Part_ID],table_vendor_c[Unit_Price],0),0),IF(_xlpm.Price=0,"Price Missing",_xlpm.Price)))</f>
        <v/>
      </c>
      <c r="H10" s="97" t="str">
        <f>IF(OR(table_BOM[[#This Row],[Part_ID]]="", NOT(ISNUMBER(table_BOM[[#This Row],[Unit_Price]]))), "", table_BOM[[#This Row],[Total_Quantity]]*table_BOM[[#This Row],[Unit_Price]])</f>
        <v/>
      </c>
      <c r="I10" s="98">
        <f ca="1">IF(OR(table_BOM[[#This Row],[Part_ID]]="",table_BOM[[#This Row],[Vendor]]="Not Found"),0,IFERROR(_xlfn.XLOOKUP(table_BOM[[#This Row],[Part_ID]],INDIRECT("table_"&amp;LOWER(table_BOM[[#This Row],[Vendor]])&amp;"[Part_ID]"),INDIRECT("table_"&amp;LOWER(table_BOM[[#This Row],[Vendor]])&amp;"[Quantity_In_Stock]")),0))</f>
        <v>0</v>
      </c>
      <c r="J10" s="98">
        <f ca="1">IF(OR(table_BOM[[#This Row],[Part_ID]]="",table_BOM[[#This Row],[Vendor]]="Not Found"),0,IFERROR(_xlfn.XLOOKUP(table_BOM[[#This Row],[Part_ID]],INDIRECT("table_"&amp;LOWER(table_BOM[[#This Row],[Vendor]])&amp;"[Part_ID]"),INDIRECT("table_"&amp;LOWER(table_BOM[[#This Row],[Vendor]])&amp;"[Quantity_Per_Product]")),0))</f>
        <v>0</v>
      </c>
    </row>
    <row r="11" spans="2:10" ht="20" thickBot="1">
      <c r="B11" s="93"/>
      <c r="C11" s="94" t="str">
        <f>IF(OR(table_BOM[[#This Row],[Part_ID]]="",table_BOM[[#This Row],[Vendor]]="Not Found"),"",_xlfn.LET(_xlpm.Src,table_BOM[[#This Row],[Vendor]],_xlpm.Name,_xlfn.SWITCH(_xlpm.Src,"Vendor_A",_xlfn.XLOOKUP(table_BOM[[#This Row],[Part_ID]],table_vendor_a[Part_ID],table_vendor_a[Part_Name],""),"Vendor_B",_xlfn.XLOOKUP(table_BOM[[#This Row],[Part_ID]],table_vendor_b[Part_ID],table_vendor_b[Part_Name],""),"Vendor_C",_xlfn.XLOOKUP(table_BOM[[#This Row],[Part_ID]],table_vendor_c[Part_ID],table_vendor_c[Part_Name],""),""),IF(_xlpm.Name="","Not Found",_xlpm.Name)))</f>
        <v/>
      </c>
      <c r="D11" s="95" t="str">
        <f>IF(table_BOM[[#This Row],[Part_ID]]="","",_xlfn.LET(_xlpm.inA,ISNUMBER(MATCH(table_BOM[[#This Row],[Part_ID]],table_vendor_a[Part_ID],0)),_xlpm.inB,ISNUMBER(MATCH(table_BOM[[#This Row],[Part_ID]],table_vendor_b[Part_ID],0)),_xlpm.inC,ISNUMBER(MATCH(table_BOM[[#This Row],[Part_ID]],table_vendor_c[Part_ID],0)),_xlfn.SWITCH(TRUE,_xlpm.inA,"Vendor_A",_xlpm.inB,"Vendor_B",_xlpm.inC,"Vendor_C","Not Found")))</f>
        <v/>
      </c>
      <c r="E11" s="96"/>
      <c r="F11" s="95" t="str">
        <f>IF(table_BOM[[#This Row],[Part_ID]]="","",table_BOM[[#This Row],[Quantity_Per_Unit]]*Product_BOM!$D$4)</f>
        <v/>
      </c>
      <c r="G11" s="54" t="str">
        <f>IF(OR(table_BOM[[#This Row],[Part_ID]]="",table_BOM[[#This Row],[Vendor]]="Not Found"),"",_xlfn.LET(_xlpm.Src,table_BOM[[#This Row],[Vendor]],_xlpm.Price,_xlfn.SWITCH(_xlpm.Src,"Vendor_A",_xlfn.XLOOKUP(table_BOM[[#This Row],[Part_ID]],table_vendor_a[Part_ID],table_vendor_a[Unit_Price],0),"Vendor_B",_xlfn.XLOOKUP(table_BOM[[#This Row],[Part_ID]],table_vendor_b[Part_ID],table_vendor_b[Unit_Price],0),"Vendor_C",_xlfn.XLOOKUP(table_BOM[[#This Row],[Part_ID]],table_vendor_c[Part_ID],table_vendor_c[Unit_Price],0),0),IF(_xlpm.Price=0,"Price Missing",_xlpm.Price)))</f>
        <v/>
      </c>
      <c r="H11" s="97" t="str">
        <f>IF(OR(table_BOM[[#This Row],[Part_ID]]="", NOT(ISNUMBER(table_BOM[[#This Row],[Unit_Price]]))), "", table_BOM[[#This Row],[Total_Quantity]]*table_BOM[[#This Row],[Unit_Price]])</f>
        <v/>
      </c>
      <c r="I11" s="98">
        <f ca="1">IF(OR(table_BOM[[#This Row],[Part_ID]]="",table_BOM[[#This Row],[Vendor]]="Not Found"),0,IFERROR(_xlfn.XLOOKUP(table_BOM[[#This Row],[Part_ID]],INDIRECT("table_"&amp;LOWER(table_BOM[[#This Row],[Vendor]])&amp;"[Part_ID]"),INDIRECT("table_"&amp;LOWER(table_BOM[[#This Row],[Vendor]])&amp;"[Quantity_In_Stock]")),0))</f>
        <v>0</v>
      </c>
      <c r="J11" s="98">
        <f ca="1">IF(OR(table_BOM[[#This Row],[Part_ID]]="",table_BOM[[#This Row],[Vendor]]="Not Found"),0,IFERROR(_xlfn.XLOOKUP(table_BOM[[#This Row],[Part_ID]],INDIRECT("table_"&amp;LOWER(table_BOM[[#This Row],[Vendor]])&amp;"[Part_ID]"),INDIRECT("table_"&amp;LOWER(table_BOM[[#This Row],[Vendor]])&amp;"[Quantity_Per_Product]")),0))</f>
        <v>0</v>
      </c>
    </row>
    <row r="12" spans="2:10" ht="20" thickBot="1">
      <c r="B12" s="93"/>
      <c r="C12" s="94" t="str">
        <f>IF(OR(table_BOM[[#This Row],[Part_ID]]="",table_BOM[[#This Row],[Vendor]]="Not Found"),"",_xlfn.LET(_xlpm.Src,table_BOM[[#This Row],[Vendor]],_xlpm.Name,_xlfn.SWITCH(_xlpm.Src,"Vendor_A",_xlfn.XLOOKUP(table_BOM[[#This Row],[Part_ID]],table_vendor_a[Part_ID],table_vendor_a[Part_Name],""),"Vendor_B",_xlfn.XLOOKUP(table_BOM[[#This Row],[Part_ID]],table_vendor_b[Part_ID],table_vendor_b[Part_Name],""),"Vendor_C",_xlfn.XLOOKUP(table_BOM[[#This Row],[Part_ID]],table_vendor_c[Part_ID],table_vendor_c[Part_Name],""),""),IF(_xlpm.Name="","Not Found",_xlpm.Name)))</f>
        <v/>
      </c>
      <c r="D12" s="95" t="str">
        <f>IF(table_BOM[[#This Row],[Part_ID]]="","",_xlfn.LET(_xlpm.inA,ISNUMBER(MATCH(table_BOM[[#This Row],[Part_ID]],table_vendor_a[Part_ID],0)),_xlpm.inB,ISNUMBER(MATCH(table_BOM[[#This Row],[Part_ID]],table_vendor_b[Part_ID],0)),_xlpm.inC,ISNUMBER(MATCH(table_BOM[[#This Row],[Part_ID]],table_vendor_c[Part_ID],0)),_xlfn.SWITCH(TRUE,_xlpm.inA,"Vendor_A",_xlpm.inB,"Vendor_B",_xlpm.inC,"Vendor_C","Not Found")))</f>
        <v/>
      </c>
      <c r="E12" s="96"/>
      <c r="F12" s="95" t="str">
        <f>IF(table_BOM[[#This Row],[Part_ID]]="","",table_BOM[[#This Row],[Quantity_Per_Unit]]*Product_BOM!$D$4)</f>
        <v/>
      </c>
      <c r="G12" s="54" t="str">
        <f>IF(OR(table_BOM[[#This Row],[Part_ID]]="",table_BOM[[#This Row],[Vendor]]="Not Found"),"",_xlfn.LET(_xlpm.Src,table_BOM[[#This Row],[Vendor]],_xlpm.Price,_xlfn.SWITCH(_xlpm.Src,"Vendor_A",_xlfn.XLOOKUP(table_BOM[[#This Row],[Part_ID]],table_vendor_a[Part_ID],table_vendor_a[Unit_Price],0),"Vendor_B",_xlfn.XLOOKUP(table_BOM[[#This Row],[Part_ID]],table_vendor_b[Part_ID],table_vendor_b[Unit_Price],0),"Vendor_C",_xlfn.XLOOKUP(table_BOM[[#This Row],[Part_ID]],table_vendor_c[Part_ID],table_vendor_c[Unit_Price],0),0),IF(_xlpm.Price=0,"Price Missing",_xlpm.Price)))</f>
        <v/>
      </c>
      <c r="H12" s="97" t="str">
        <f>IF(OR(table_BOM[[#This Row],[Part_ID]]="", NOT(ISNUMBER(table_BOM[[#This Row],[Unit_Price]]))), "", table_BOM[[#This Row],[Total_Quantity]]*table_BOM[[#This Row],[Unit_Price]])</f>
        <v/>
      </c>
      <c r="I12" s="98">
        <f ca="1">IF(OR(table_BOM[[#This Row],[Part_ID]]="",table_BOM[[#This Row],[Vendor]]="Not Found"),0,IFERROR(_xlfn.XLOOKUP(table_BOM[[#This Row],[Part_ID]],INDIRECT("table_"&amp;LOWER(table_BOM[[#This Row],[Vendor]])&amp;"[Part_ID]"),INDIRECT("table_"&amp;LOWER(table_BOM[[#This Row],[Vendor]])&amp;"[Quantity_In_Stock]")),0))</f>
        <v>0</v>
      </c>
      <c r="J12" s="98">
        <f ca="1">IF(OR(table_BOM[[#This Row],[Part_ID]]="",table_BOM[[#This Row],[Vendor]]="Not Found"),0,IFERROR(_xlfn.XLOOKUP(table_BOM[[#This Row],[Part_ID]],INDIRECT("table_"&amp;LOWER(table_BOM[[#This Row],[Vendor]])&amp;"[Part_ID]"),INDIRECT("table_"&amp;LOWER(table_BOM[[#This Row],[Vendor]])&amp;"[Quantity_Per_Product]")),0))</f>
        <v>0</v>
      </c>
    </row>
    <row r="13" spans="2:10" s="4" customFormat="1" ht="24" customHeight="1" thickBot="1">
      <c r="B13" s="93"/>
      <c r="C13" s="94" t="str">
        <f>IF(OR(table_BOM[[#This Row],[Part_ID]]="",table_BOM[[#This Row],[Vendor]]="Not Found"),"",_xlfn.LET(_xlpm.Src,table_BOM[[#This Row],[Vendor]],_xlpm.Name,_xlfn.SWITCH(_xlpm.Src,"Vendor_A",_xlfn.XLOOKUP(table_BOM[[#This Row],[Part_ID]],table_vendor_a[Part_ID],table_vendor_a[Part_Name],""),"Vendor_B",_xlfn.XLOOKUP(table_BOM[[#This Row],[Part_ID]],table_vendor_b[Part_ID],table_vendor_b[Part_Name],""),"Vendor_C",_xlfn.XLOOKUP(table_BOM[[#This Row],[Part_ID]],table_vendor_c[Part_ID],table_vendor_c[Part_Name],""),""),IF(_xlpm.Name="","Not Found",_xlpm.Name)))</f>
        <v/>
      </c>
      <c r="D13" s="95" t="str">
        <f>IF(table_BOM[[#This Row],[Part_ID]]="","",_xlfn.LET(_xlpm.inA,ISNUMBER(MATCH(table_BOM[[#This Row],[Part_ID]],table_vendor_a[Part_ID],0)),_xlpm.inB,ISNUMBER(MATCH(table_BOM[[#This Row],[Part_ID]],table_vendor_b[Part_ID],0)),_xlpm.inC,ISNUMBER(MATCH(table_BOM[[#This Row],[Part_ID]],table_vendor_c[Part_ID],0)),_xlfn.SWITCH(TRUE,_xlpm.inA,"Vendor_A",_xlpm.inB,"Vendor_B",_xlpm.inC,"Vendor_C","Not Found")))</f>
        <v/>
      </c>
      <c r="E13" s="96"/>
      <c r="F13" s="95" t="str">
        <f>IF(table_BOM[[#This Row],[Part_ID]]="","",table_BOM[[#This Row],[Quantity_Per_Unit]]*Product_BOM!$D$4)</f>
        <v/>
      </c>
      <c r="G13" s="54" t="str">
        <f>IF(OR(table_BOM[[#This Row],[Part_ID]]="",table_BOM[[#This Row],[Vendor]]="Not Found"),"",_xlfn.LET(_xlpm.Src,table_BOM[[#This Row],[Vendor]],_xlpm.Price,_xlfn.SWITCH(_xlpm.Src,"Vendor_A",_xlfn.XLOOKUP(table_BOM[[#This Row],[Part_ID]],table_vendor_a[Part_ID],table_vendor_a[Unit_Price],0),"Vendor_B",_xlfn.XLOOKUP(table_BOM[[#This Row],[Part_ID]],table_vendor_b[Part_ID],table_vendor_b[Unit_Price],0),"Vendor_C",_xlfn.XLOOKUP(table_BOM[[#This Row],[Part_ID]],table_vendor_c[Part_ID],table_vendor_c[Unit_Price],0),0),IF(_xlpm.Price=0,"Price Missing",_xlpm.Price)))</f>
        <v/>
      </c>
      <c r="H13" s="97" t="str">
        <f>IF(OR(table_BOM[[#This Row],[Part_ID]]="", NOT(ISNUMBER(table_BOM[[#This Row],[Unit_Price]]))), "", table_BOM[[#This Row],[Total_Quantity]]*table_BOM[[#This Row],[Unit_Price]])</f>
        <v/>
      </c>
      <c r="I13" s="98">
        <f ca="1">IF(OR(table_BOM[[#This Row],[Part_ID]]="",table_BOM[[#This Row],[Vendor]]="Not Found"),0,IFERROR(_xlfn.XLOOKUP(table_BOM[[#This Row],[Part_ID]],INDIRECT("table_"&amp;LOWER(table_BOM[[#This Row],[Vendor]])&amp;"[Part_ID]"),INDIRECT("table_"&amp;LOWER(table_BOM[[#This Row],[Vendor]])&amp;"[Quantity_In_Stock]")),0))</f>
        <v>0</v>
      </c>
      <c r="J13" s="98">
        <f ca="1">IF(OR(table_BOM[[#This Row],[Part_ID]]="",table_BOM[[#This Row],[Vendor]]="Not Found"),0,IFERROR(_xlfn.XLOOKUP(table_BOM[[#This Row],[Part_ID]],INDIRECT("table_"&amp;LOWER(table_BOM[[#This Row],[Vendor]])&amp;"[Part_ID]"),INDIRECT("table_"&amp;LOWER(table_BOM[[#This Row],[Vendor]])&amp;"[Quantity_Per_Product]")),0))</f>
        <v>0</v>
      </c>
    </row>
    <row r="14" spans="2:10" ht="20" thickBot="1">
      <c r="B14" s="93"/>
      <c r="C14" s="94" t="str">
        <f>IF(OR(table_BOM[[#This Row],[Part_ID]]="",table_BOM[[#This Row],[Vendor]]="Not Found"),"",_xlfn.LET(_xlpm.Src,table_BOM[[#This Row],[Vendor]],_xlpm.Name,_xlfn.SWITCH(_xlpm.Src,"Vendor_A",_xlfn.XLOOKUP(table_BOM[[#This Row],[Part_ID]],table_vendor_a[Part_ID],table_vendor_a[Part_Name],""),"Vendor_B",_xlfn.XLOOKUP(table_BOM[[#This Row],[Part_ID]],table_vendor_b[Part_ID],table_vendor_b[Part_Name],""),"Vendor_C",_xlfn.XLOOKUP(table_BOM[[#This Row],[Part_ID]],table_vendor_c[Part_ID],table_vendor_c[Part_Name],""),""),IF(_xlpm.Name="","Not Found",_xlpm.Name)))</f>
        <v/>
      </c>
      <c r="D14" s="95" t="str">
        <f>IF(table_BOM[[#This Row],[Part_ID]]="","",_xlfn.LET(_xlpm.inA,ISNUMBER(MATCH(table_BOM[[#This Row],[Part_ID]],table_vendor_a[Part_ID],0)),_xlpm.inB,ISNUMBER(MATCH(table_BOM[[#This Row],[Part_ID]],table_vendor_b[Part_ID],0)),_xlpm.inC,ISNUMBER(MATCH(table_BOM[[#This Row],[Part_ID]],table_vendor_c[Part_ID],0)),_xlfn.SWITCH(TRUE,_xlpm.inA,"Vendor_A",_xlpm.inB,"Vendor_B",_xlpm.inC,"Vendor_C","Not Found")))</f>
        <v/>
      </c>
      <c r="E14" s="96"/>
      <c r="F14" s="95" t="str">
        <f>IF(table_BOM[[#This Row],[Part_ID]]="","",table_BOM[[#This Row],[Quantity_Per_Unit]]*Product_BOM!$D$4)</f>
        <v/>
      </c>
      <c r="G14" s="54" t="str">
        <f>IF(OR(table_BOM[[#This Row],[Part_ID]]="",table_BOM[[#This Row],[Vendor]]="Not Found"),"",_xlfn.LET(_xlpm.Src,table_BOM[[#This Row],[Vendor]],_xlpm.Price,_xlfn.SWITCH(_xlpm.Src,"Vendor_A",_xlfn.XLOOKUP(table_BOM[[#This Row],[Part_ID]],table_vendor_a[Part_ID],table_vendor_a[Unit_Price],0),"Vendor_B",_xlfn.XLOOKUP(table_BOM[[#This Row],[Part_ID]],table_vendor_b[Part_ID],table_vendor_b[Unit_Price],0),"Vendor_C",_xlfn.XLOOKUP(table_BOM[[#This Row],[Part_ID]],table_vendor_c[Part_ID],table_vendor_c[Unit_Price],0),0),IF(_xlpm.Price=0,"Price Missing",_xlpm.Price)))</f>
        <v/>
      </c>
      <c r="H14" s="97" t="str">
        <f>IF(OR(table_BOM[[#This Row],[Part_ID]]="", NOT(ISNUMBER(table_BOM[[#This Row],[Unit_Price]]))), "", table_BOM[[#This Row],[Total_Quantity]]*table_BOM[[#This Row],[Unit_Price]])</f>
        <v/>
      </c>
      <c r="I14" s="98">
        <f ca="1">IF(OR(table_BOM[[#This Row],[Part_ID]]="",table_BOM[[#This Row],[Vendor]]="Not Found"),0,IFERROR(_xlfn.XLOOKUP(table_BOM[[#This Row],[Part_ID]],INDIRECT("table_"&amp;LOWER(table_BOM[[#This Row],[Vendor]])&amp;"[Part_ID]"),INDIRECT("table_"&amp;LOWER(table_BOM[[#This Row],[Vendor]])&amp;"[Quantity_In_Stock]")),0))</f>
        <v>0</v>
      </c>
      <c r="J14" s="98">
        <f ca="1">IF(OR(table_BOM[[#This Row],[Part_ID]]="",table_BOM[[#This Row],[Vendor]]="Not Found"),0,IFERROR(_xlfn.XLOOKUP(table_BOM[[#This Row],[Part_ID]],INDIRECT("table_"&amp;LOWER(table_BOM[[#This Row],[Vendor]])&amp;"[Part_ID]"),INDIRECT("table_"&amp;LOWER(table_BOM[[#This Row],[Vendor]])&amp;"[Quantity_Per_Product]")),0))</f>
        <v>0</v>
      </c>
    </row>
    <row r="15" spans="2:10" thickBot="1">
      <c r="B15" s="43"/>
      <c r="C15" s="44"/>
      <c r="D15" s="44"/>
      <c r="E15" s="44"/>
      <c r="F15" s="44"/>
      <c r="G15" s="44"/>
      <c r="H15" s="44"/>
      <c r="I15" s="45"/>
    </row>
    <row r="16" spans="2:10" ht="24" customHeight="1" thickBot="1">
      <c r="G16" s="17"/>
      <c r="H16" s="17"/>
    </row>
    <row r="17" spans="2:10" ht="24" customHeight="1" thickBot="1">
      <c r="B17" s="90" t="s">
        <v>259</v>
      </c>
      <c r="C17" s="91"/>
      <c r="D17" s="91"/>
      <c r="E17" s="91"/>
      <c r="F17" s="91"/>
      <c r="G17" s="91"/>
      <c r="H17" s="91"/>
      <c r="I17" s="92"/>
    </row>
    <row r="18" spans="2:10" ht="2" customHeight="1" thickBot="1">
      <c r="B18" s="55"/>
      <c r="C18" s="56"/>
      <c r="D18" s="56"/>
      <c r="E18" s="56"/>
      <c r="F18" s="56"/>
      <c r="G18" s="56"/>
      <c r="H18" s="56"/>
      <c r="I18" s="57"/>
    </row>
    <row r="19" spans="2:10" ht="2" customHeight="1" thickBot="1">
      <c r="B19" s="42" t="s">
        <v>0</v>
      </c>
      <c r="C19" s="42" t="s">
        <v>1</v>
      </c>
      <c r="D19" s="42" t="s">
        <v>236</v>
      </c>
      <c r="E19" s="42" t="s">
        <v>238</v>
      </c>
      <c r="F19" s="42" t="s">
        <v>237</v>
      </c>
      <c r="G19" s="42" t="s">
        <v>2</v>
      </c>
      <c r="H19" s="42" t="s">
        <v>267</v>
      </c>
      <c r="I19" s="42" t="s">
        <v>239</v>
      </c>
      <c r="J19" s="42" t="s">
        <v>265</v>
      </c>
    </row>
    <row r="20" spans="2:10" thickBot="1">
      <c r="B20" s="67"/>
      <c r="C20" s="68" t="str">
        <f>IF(OR(table_explicit_items[[#This Row],[Part_ID]]="",table_explicit_items[[#This Row],[Vendor]]="Not Found"),"",_xlfn.LET(_xlpm.Src,table_explicit_items[[#This Row],[Vendor]],_xlpm.Name,_xlfn.SWITCH(_xlpm.Src,"Vendor_A",_xlfn.XLOOKUP(table_explicit_items[[#This Row],[Part_ID]],table_vendor_a[Part_ID],table_vendor_a[Part_Name],""),"Vendor_B",_xlfn.XLOOKUP(table_explicit_items[[#This Row],[Part_ID]],table_vendor_b[Part_ID],table_vendor_b[Part_Name],""),"Vendor_C",_xlfn.XLOOKUP(table_explicit_items[[#This Row],[Part_ID]],table_vendor_c[Part_ID],table_vendor_c[Part_Name],""),""),IF(_xlpm.Name="","Not Found",_xlpm.Name)))</f>
        <v/>
      </c>
      <c r="D20" s="68" t="str">
        <f>IF(table_explicit_items[[#This Row],[Part_ID]]="","",_xlfn.LET(_xlpm.inA,ISNUMBER(MATCH(table_explicit_items[[#This Row],[Part_ID]],table_vendor_a[Part_ID],0)),_xlpm.inB,ISNUMBER(MATCH(table_explicit_items[[#This Row],[Part_ID]],table_vendor_b[Part_ID],0)),_xlpm.inC,ISNUMBER(MATCH(table_explicit_items[[#This Row],[Part_ID]],table_vendor_c[Part_ID],0)),_xlfn.SWITCH(TRUE,_xlpm.inA,"Vendor_A",_xlpm.inB,"Vendor_B",_xlpm.inC,"Vendor_C","Not Found")))</f>
        <v/>
      </c>
      <c r="E20" s="68"/>
      <c r="F20" s="68" t="str">
        <f>IF(table_explicit_items[[#This Row],[Part_ID]]="","",table_explicit_items[[#This Row],[Quantity_Per_Unit]]*Product_BOM!$D$4)</f>
        <v/>
      </c>
      <c r="G20" s="69" t="str">
        <f>IF(OR(table_explicit_items[[#This Row],[Part_ID]]="",table_explicit_items[[#This Row],[Vendor]]="Not Found"),"",_xlfn.LET(_xlpm.Src,table_explicit_items[[#This Row],[Vendor]],_xlpm.Price,_xlfn.SWITCH(_xlpm.Src,"Vendor_A",_xlfn.XLOOKUP(table_explicit_items[[#This Row],[Part_ID]],table_vendor_a[Part_ID],table_vendor_a[Unit_Price],0),"Vendor_B",_xlfn.XLOOKUP(table_explicit_items[[#This Row],[Part_ID]],table_vendor_b[Part_ID],table_vendor_b[Unit_Price],0),"Vendor_C",_xlfn.XLOOKUP(table_explicit_items[[#This Row],[Part_ID]],table_vendor_c[Part_ID],table_vendor_c[Unit_Price],0),0),IF(_xlpm.Price=0,"Price Missing",_xlpm.Price)))</f>
        <v/>
      </c>
      <c r="H20" s="69" t="str">
        <f>IF(OR(table_explicit_items[[#This Row],[Part_ID]]="", NOT(ISNUMBER(table_explicit_items[[#This Row],[Unit_Price]]))), "", table_explicit_items[[#This Row],[Total_Quantity]]*table_explicit_items[[#This Row],[Unit_Price]])</f>
        <v/>
      </c>
      <c r="I20" s="68">
        <f ca="1">IF(OR(table_explicit_items[[#This Row],[Part_ID]]="",table_explicit_items[[#This Row],[Vendor]]="Not Found"),0,IFERROR(_xlfn.XLOOKUP(table_explicit_items[[#This Row],[Part_ID]],INDIRECT("table_"&amp;LOWER(table_explicit_items[[#This Row],[Vendor]])&amp;"[Part_ID]"),INDIRECT("table_"&amp;LOWER(table_explicit_items[[#This Row],[Vendor]])&amp;"[Quantity_In_Stock]")),0))</f>
        <v>0</v>
      </c>
      <c r="J20" s="68">
        <f ca="1">IF(OR(table_explicit_items[[#This Row],[Part_ID]]="",table_explicit_items[[#This Row],[Vendor]]="Not Found"),0,IFERROR(_xlfn.XLOOKUP(table_explicit_items[[#This Row],[Part_ID]],INDIRECT("table_"&amp;LOWER(table_explicit_items[[#This Row],[Vendor]])&amp;"[Part_ID]"),INDIRECT("table_"&amp;LOWER(table_explicit_items[[#This Row],[Vendor]])&amp;"[Quantity_Per_Product]")),0))</f>
        <v>0</v>
      </c>
    </row>
    <row r="21" spans="2:10" ht="20" thickBot="1">
      <c r="B21" s="49"/>
      <c r="C21" s="46" t="str">
        <f>IF(OR(table_explicit_items[[#This Row],[Part_ID]]="",table_explicit_items[[#This Row],[Vendor]]="Not Found"),"",_xlfn.LET(_xlpm.Src,table_explicit_items[[#This Row],[Vendor]],_xlpm.Name,_xlfn.SWITCH(_xlpm.Src,"Vendor_A",_xlfn.XLOOKUP(table_explicit_items[[#This Row],[Part_ID]],table_vendor_a[Part_ID],table_vendor_a[Part_Name],""),"Vendor_B",_xlfn.XLOOKUP(table_explicit_items[[#This Row],[Part_ID]],table_vendor_b[Part_ID],table_vendor_b[Part_Name],""),"Vendor_C",_xlfn.XLOOKUP(table_explicit_items[[#This Row],[Part_ID]],table_vendor_c[Part_ID],table_vendor_c[Part_Name],""),""),IF(_xlpm.Name="","Not Found",_xlpm.Name)))</f>
        <v/>
      </c>
      <c r="D21" s="46" t="str">
        <f>IF(table_explicit_items[[#This Row],[Part_ID]]="","",_xlfn.LET(_xlpm.inA,ISNUMBER(MATCH(table_explicit_items[[#This Row],[Part_ID]],table_vendor_a[Part_ID],0)),_xlpm.inB,ISNUMBER(MATCH(table_explicit_items[[#This Row],[Part_ID]],table_vendor_b[Part_ID],0)),_xlpm.inC,ISNUMBER(MATCH(table_explicit_items[[#This Row],[Part_ID]],table_vendor_c[Part_ID],0)),_xlfn.SWITCH(TRUE,_xlpm.inA,"Vendor_A",_xlpm.inB,"Vendor_B",_xlpm.inC,"Vendor_C","Not Found")))</f>
        <v/>
      </c>
      <c r="E21" s="49"/>
      <c r="F21" s="46" t="str">
        <f>IF(table_explicit_items[[#This Row],[Part_ID]]="","",table_explicit_items[[#This Row],[Quantity_Per_Unit]]*Product_BOM!$D$4)</f>
        <v/>
      </c>
      <c r="G21" s="47" t="str">
        <f>IF(OR(table_explicit_items[[#This Row],[Part_ID]]="",table_explicit_items[[#This Row],[Vendor]]="Not Found"),"",_xlfn.LET(_xlpm.Src,table_explicit_items[[#This Row],[Vendor]],_xlpm.Price,_xlfn.SWITCH(_xlpm.Src,"Vendor_A",_xlfn.XLOOKUP(table_explicit_items[[#This Row],[Part_ID]],table_vendor_a[Part_ID],table_vendor_a[Unit_Price],0),"Vendor_B",_xlfn.XLOOKUP(table_explicit_items[[#This Row],[Part_ID]],table_vendor_b[Part_ID],table_vendor_b[Unit_Price],0),"Vendor_C",_xlfn.XLOOKUP(table_explicit_items[[#This Row],[Part_ID]],table_vendor_c[Part_ID],table_vendor_c[Unit_Price],0),0),IF(_xlpm.Price=0,"Price Missing",_xlpm.Price)))</f>
        <v/>
      </c>
      <c r="H21" s="47" t="str">
        <f>IF(OR(table_explicit_items[[#This Row],[Part_ID]]="", NOT(ISNUMBER(table_explicit_items[[#This Row],[Unit_Price]]))), "", table_explicit_items[[#This Row],[Total_Quantity]]*table_explicit_items[[#This Row],[Unit_Price]])</f>
        <v/>
      </c>
      <c r="I21" s="46">
        <f ca="1">IF(OR(table_explicit_items[[#This Row],[Part_ID]]="",table_explicit_items[[#This Row],[Vendor]]="Not Found"),0,IFERROR(_xlfn.XLOOKUP(table_explicit_items[[#This Row],[Part_ID]],INDIRECT("table_"&amp;LOWER(table_explicit_items[[#This Row],[Vendor]])&amp;"[Part_ID]"),INDIRECT("table_"&amp;LOWER(table_explicit_items[[#This Row],[Vendor]])&amp;"[Quantity_In_Stock]")),0))</f>
        <v>0</v>
      </c>
      <c r="J21" s="46">
        <f ca="1">IF(OR(table_explicit_items[[#This Row],[Part_ID]]="",table_explicit_items[[#This Row],[Vendor]]="Not Found"),0,IFERROR(_xlfn.XLOOKUP(table_explicit_items[[#This Row],[Part_ID]],INDIRECT("table_"&amp;LOWER(table_explicit_items[[#This Row],[Vendor]])&amp;"[Part_ID]"),INDIRECT("table_"&amp;LOWER(table_explicit_items[[#This Row],[Vendor]])&amp;"[Quantity_Per_Product]")),0))</f>
        <v>0</v>
      </c>
    </row>
    <row r="22" spans="2:10" ht="20" thickBot="1">
      <c r="B22" s="49"/>
      <c r="C22" s="46" t="str">
        <f>IF(OR(table_explicit_items[[#This Row],[Part_ID]]="",table_explicit_items[[#This Row],[Vendor]]="Not Found"),"",_xlfn.LET(_xlpm.Src,table_explicit_items[[#This Row],[Vendor]],_xlpm.Name,_xlfn.SWITCH(_xlpm.Src,"Vendor_A",_xlfn.XLOOKUP(table_explicit_items[[#This Row],[Part_ID]],table_vendor_a[Part_ID],table_vendor_a[Part_Name],""),"Vendor_B",_xlfn.XLOOKUP(table_explicit_items[[#This Row],[Part_ID]],table_vendor_b[Part_ID],table_vendor_b[Part_Name],""),"Vendor_C",_xlfn.XLOOKUP(table_explicit_items[[#This Row],[Part_ID]],table_vendor_c[Part_ID],table_vendor_c[Part_Name],""),""),IF(_xlpm.Name="","Not Found",_xlpm.Name)))</f>
        <v/>
      </c>
      <c r="D22" s="46" t="str">
        <f>IF(table_explicit_items[[#This Row],[Part_ID]]="","",_xlfn.LET(_xlpm.inA,ISNUMBER(MATCH(table_explicit_items[[#This Row],[Part_ID]],table_vendor_a[Part_ID],0)),_xlpm.inB,ISNUMBER(MATCH(table_explicit_items[[#This Row],[Part_ID]],table_vendor_b[Part_ID],0)),_xlpm.inC,ISNUMBER(MATCH(table_explicit_items[[#This Row],[Part_ID]],table_vendor_c[Part_ID],0)),_xlfn.SWITCH(TRUE,_xlpm.inA,"Vendor_A",_xlpm.inB,"Vendor_B",_xlpm.inC,"Vendor_C","Not Found")))</f>
        <v/>
      </c>
      <c r="E22" s="49"/>
      <c r="F22" s="46" t="str">
        <f>IF(table_explicit_items[[#This Row],[Part_ID]]="","",table_explicit_items[[#This Row],[Quantity_Per_Unit]]*Product_BOM!$D$4)</f>
        <v/>
      </c>
      <c r="G22" s="47" t="str">
        <f>IF(OR(table_explicit_items[[#This Row],[Part_ID]]="",table_explicit_items[[#This Row],[Vendor]]="Not Found"),"",_xlfn.LET(_xlpm.Src,table_explicit_items[[#This Row],[Vendor]],_xlpm.Price,_xlfn.SWITCH(_xlpm.Src,"Vendor_A",_xlfn.XLOOKUP(table_explicit_items[[#This Row],[Part_ID]],table_vendor_a[Part_ID],table_vendor_a[Unit_Price],0),"Vendor_B",_xlfn.XLOOKUP(table_explicit_items[[#This Row],[Part_ID]],table_vendor_b[Part_ID],table_vendor_b[Unit_Price],0),"Vendor_C",_xlfn.XLOOKUP(table_explicit_items[[#This Row],[Part_ID]],table_vendor_c[Part_ID],table_vendor_c[Unit_Price],0),0),IF(_xlpm.Price=0,"Price Missing",_xlpm.Price)))</f>
        <v/>
      </c>
      <c r="H22" s="47" t="str">
        <f>IF(OR(table_explicit_items[[#This Row],[Part_ID]]="", NOT(ISNUMBER(table_explicit_items[[#This Row],[Unit_Price]]))), "", table_explicit_items[[#This Row],[Total_Quantity]]*table_explicit_items[[#This Row],[Unit_Price]])</f>
        <v/>
      </c>
      <c r="I22" s="46">
        <f ca="1">IF(OR(table_explicit_items[[#This Row],[Part_ID]]="",table_explicit_items[[#This Row],[Vendor]]="Not Found"),0,IFERROR(_xlfn.XLOOKUP(table_explicit_items[[#This Row],[Part_ID]],INDIRECT("table_"&amp;LOWER(table_explicit_items[[#This Row],[Vendor]])&amp;"[Part_ID]"),INDIRECT("table_"&amp;LOWER(table_explicit_items[[#This Row],[Vendor]])&amp;"[Quantity_In_Stock]")),0))</f>
        <v>0</v>
      </c>
      <c r="J22" s="46">
        <f ca="1">IF(OR(table_explicit_items[[#This Row],[Part_ID]]="",table_explicit_items[[#This Row],[Vendor]]="Not Found"),0,IFERROR(_xlfn.XLOOKUP(table_explicit_items[[#This Row],[Part_ID]],INDIRECT("table_"&amp;LOWER(table_explicit_items[[#This Row],[Vendor]])&amp;"[Part_ID]"),INDIRECT("table_"&amp;LOWER(table_explicit_items[[#This Row],[Vendor]])&amp;"[Quantity_Per_Product]")),0))</f>
        <v>0</v>
      </c>
    </row>
    <row r="23" spans="2:10" ht="20" thickBot="1">
      <c r="B23" s="49"/>
      <c r="C23" s="46" t="str">
        <f>IF(OR(table_explicit_items[[#This Row],[Part_ID]]="",table_explicit_items[[#This Row],[Vendor]]="Not Found"),"",_xlfn.LET(_xlpm.Src,table_explicit_items[[#This Row],[Vendor]],_xlpm.Name,_xlfn.SWITCH(_xlpm.Src,"Vendor_A",_xlfn.XLOOKUP(table_explicit_items[[#This Row],[Part_ID]],table_vendor_a[Part_ID],table_vendor_a[Part_Name],""),"Vendor_B",_xlfn.XLOOKUP(table_explicit_items[[#This Row],[Part_ID]],table_vendor_b[Part_ID],table_vendor_b[Part_Name],""),"Vendor_C",_xlfn.XLOOKUP(table_explicit_items[[#This Row],[Part_ID]],table_vendor_c[Part_ID],table_vendor_c[Part_Name],""),""),IF(_xlpm.Name="","Not Found",_xlpm.Name)))</f>
        <v/>
      </c>
      <c r="D23" s="46" t="str">
        <f>IF(table_explicit_items[[#This Row],[Part_ID]]="","",_xlfn.LET(_xlpm.inA,ISNUMBER(MATCH(table_explicit_items[[#This Row],[Part_ID]],table_vendor_a[Part_ID],0)),_xlpm.inB,ISNUMBER(MATCH(table_explicit_items[[#This Row],[Part_ID]],table_vendor_b[Part_ID],0)),_xlpm.inC,ISNUMBER(MATCH(table_explicit_items[[#This Row],[Part_ID]],table_vendor_c[Part_ID],0)),_xlfn.SWITCH(TRUE,_xlpm.inA,"Vendor_A",_xlpm.inB,"Vendor_B",_xlpm.inC,"Vendor_C","Not Found")))</f>
        <v/>
      </c>
      <c r="E23" s="49"/>
      <c r="F23" s="46" t="str">
        <f>IF(table_explicit_items[[#This Row],[Part_ID]]="","",table_explicit_items[[#This Row],[Quantity_Per_Unit]]*Product_BOM!$D$4)</f>
        <v/>
      </c>
      <c r="G23" s="47" t="str">
        <f>IF(OR(table_explicit_items[[#This Row],[Part_ID]]="",table_explicit_items[[#This Row],[Vendor]]="Not Found"),"",_xlfn.LET(_xlpm.Src,table_explicit_items[[#This Row],[Vendor]],_xlpm.Price,_xlfn.SWITCH(_xlpm.Src,"Vendor_A",_xlfn.XLOOKUP(table_explicit_items[[#This Row],[Part_ID]],table_vendor_a[Part_ID],table_vendor_a[Unit_Price],0),"Vendor_B",_xlfn.XLOOKUP(table_explicit_items[[#This Row],[Part_ID]],table_vendor_b[Part_ID],table_vendor_b[Unit_Price],0),"Vendor_C",_xlfn.XLOOKUP(table_explicit_items[[#This Row],[Part_ID]],table_vendor_c[Part_ID],table_vendor_c[Unit_Price],0),0),IF(_xlpm.Price=0,"Price Missing",_xlpm.Price)))</f>
        <v/>
      </c>
      <c r="H23" s="47" t="str">
        <f>IF(OR(table_explicit_items[[#This Row],[Part_ID]]="", NOT(ISNUMBER(table_explicit_items[[#This Row],[Unit_Price]]))), "", table_explicit_items[[#This Row],[Total_Quantity]]*table_explicit_items[[#This Row],[Unit_Price]])</f>
        <v/>
      </c>
      <c r="I23" s="46">
        <f ca="1">IF(OR(table_explicit_items[[#This Row],[Part_ID]]="",table_explicit_items[[#This Row],[Vendor]]="Not Found"),0,IFERROR(_xlfn.XLOOKUP(table_explicit_items[[#This Row],[Part_ID]],INDIRECT("table_"&amp;LOWER(table_explicit_items[[#This Row],[Vendor]])&amp;"[Part_ID]"),INDIRECT("table_"&amp;LOWER(table_explicit_items[[#This Row],[Vendor]])&amp;"[Quantity_In_Stock]")),0))</f>
        <v>0</v>
      </c>
      <c r="J23" s="46">
        <f ca="1">IF(OR(table_explicit_items[[#This Row],[Part_ID]]="",table_explicit_items[[#This Row],[Vendor]]="Not Found"),0,IFERROR(_xlfn.XLOOKUP(table_explicit_items[[#This Row],[Part_ID]],INDIRECT("table_"&amp;LOWER(table_explicit_items[[#This Row],[Vendor]])&amp;"[Part_ID]"),INDIRECT("table_"&amp;LOWER(table_explicit_items[[#This Row],[Vendor]])&amp;"[Quantity_Per_Product]")),0))</f>
        <v>0</v>
      </c>
    </row>
    <row r="24" spans="2:10" ht="20" thickBot="1">
      <c r="B24" s="49"/>
      <c r="C24" s="46" t="str">
        <f>IF(OR(table_explicit_items[[#This Row],[Part_ID]]="",table_explicit_items[[#This Row],[Vendor]]="Not Found"),"",_xlfn.LET(_xlpm.Src,table_explicit_items[[#This Row],[Vendor]],_xlpm.Name,_xlfn.SWITCH(_xlpm.Src,"Vendor_A",_xlfn.XLOOKUP(table_explicit_items[[#This Row],[Part_ID]],table_vendor_a[Part_ID],table_vendor_a[Part_Name],""),"Vendor_B",_xlfn.XLOOKUP(table_explicit_items[[#This Row],[Part_ID]],table_vendor_b[Part_ID],table_vendor_b[Part_Name],""),"Vendor_C",_xlfn.XLOOKUP(table_explicit_items[[#This Row],[Part_ID]],table_vendor_c[Part_ID],table_vendor_c[Part_Name],""),""),IF(_xlpm.Name="","Not Found",_xlpm.Name)))</f>
        <v/>
      </c>
      <c r="D24" s="46" t="str">
        <f>IF(table_explicit_items[[#This Row],[Part_ID]]="","",_xlfn.LET(_xlpm.inA,ISNUMBER(MATCH(table_explicit_items[[#This Row],[Part_ID]],table_vendor_a[Part_ID],0)),_xlpm.inB,ISNUMBER(MATCH(table_explicit_items[[#This Row],[Part_ID]],table_vendor_b[Part_ID],0)),_xlpm.inC,ISNUMBER(MATCH(table_explicit_items[[#This Row],[Part_ID]],table_vendor_c[Part_ID],0)),_xlfn.SWITCH(TRUE,_xlpm.inA,"Vendor_A",_xlpm.inB,"Vendor_B",_xlpm.inC,"Vendor_C","Not Found")))</f>
        <v/>
      </c>
      <c r="E24" s="49"/>
      <c r="F24" s="46" t="str">
        <f>IF(table_explicit_items[[#This Row],[Part_ID]]="","",table_explicit_items[[#This Row],[Quantity_Per_Unit]]*Product_BOM!$D$4)</f>
        <v/>
      </c>
      <c r="G24" s="47" t="str">
        <f>IF(OR(table_explicit_items[[#This Row],[Part_ID]]="",table_explicit_items[[#This Row],[Vendor]]="Not Found"),"",_xlfn.LET(_xlpm.Src,table_explicit_items[[#This Row],[Vendor]],_xlpm.Price,_xlfn.SWITCH(_xlpm.Src,"Vendor_A",_xlfn.XLOOKUP(table_explicit_items[[#This Row],[Part_ID]],table_vendor_a[Part_ID],table_vendor_a[Unit_Price],0),"Vendor_B",_xlfn.XLOOKUP(table_explicit_items[[#This Row],[Part_ID]],table_vendor_b[Part_ID],table_vendor_b[Unit_Price],0),"Vendor_C",_xlfn.XLOOKUP(table_explicit_items[[#This Row],[Part_ID]],table_vendor_c[Part_ID],table_vendor_c[Unit_Price],0),0),IF(_xlpm.Price=0,"Price Missing",_xlpm.Price)))</f>
        <v/>
      </c>
      <c r="H24" s="47" t="str">
        <f>IF(OR(table_explicit_items[[#This Row],[Part_ID]]="", NOT(ISNUMBER(table_explicit_items[[#This Row],[Unit_Price]]))), "", table_explicit_items[[#This Row],[Total_Quantity]]*table_explicit_items[[#This Row],[Unit_Price]])</f>
        <v/>
      </c>
      <c r="I24" s="46">
        <f ca="1">IF(OR(table_explicit_items[[#This Row],[Part_ID]]="",table_explicit_items[[#This Row],[Vendor]]="Not Found"),0,IFERROR(_xlfn.XLOOKUP(table_explicit_items[[#This Row],[Part_ID]],INDIRECT("table_"&amp;LOWER(table_explicit_items[[#This Row],[Vendor]])&amp;"[Part_ID]"),INDIRECT("table_"&amp;LOWER(table_explicit_items[[#This Row],[Vendor]])&amp;"[Quantity_In_Stock]")),0))</f>
        <v>0</v>
      </c>
      <c r="J24" s="46">
        <f ca="1">IF(OR(table_explicit_items[[#This Row],[Part_ID]]="",table_explicit_items[[#This Row],[Vendor]]="Not Found"),0,IFERROR(_xlfn.XLOOKUP(table_explicit_items[[#This Row],[Part_ID]],INDIRECT("table_"&amp;LOWER(table_explicit_items[[#This Row],[Vendor]])&amp;"[Part_ID]"),INDIRECT("table_"&amp;LOWER(table_explicit_items[[#This Row],[Vendor]])&amp;"[Quantity_Per_Product]")),0))</f>
        <v>0</v>
      </c>
    </row>
    <row r="25" spans="2:10" ht="20" thickBot="1">
      <c r="B25" s="49"/>
      <c r="C25" s="46" t="str">
        <f>IF(OR(table_explicit_items[[#This Row],[Part_ID]]="",table_explicit_items[[#This Row],[Vendor]]="Not Found"),"",_xlfn.LET(_xlpm.Src,table_explicit_items[[#This Row],[Vendor]],_xlpm.Name,_xlfn.SWITCH(_xlpm.Src,"Vendor_A",_xlfn.XLOOKUP(table_explicit_items[[#This Row],[Part_ID]],table_vendor_a[Part_ID],table_vendor_a[Part_Name],""),"Vendor_B",_xlfn.XLOOKUP(table_explicit_items[[#This Row],[Part_ID]],table_vendor_b[Part_ID],table_vendor_b[Part_Name],""),"Vendor_C",_xlfn.XLOOKUP(table_explicit_items[[#This Row],[Part_ID]],table_vendor_c[Part_ID],table_vendor_c[Part_Name],""),""),IF(_xlpm.Name="","Not Found",_xlpm.Name)))</f>
        <v/>
      </c>
      <c r="D25" s="46" t="str">
        <f>IF(table_explicit_items[[#This Row],[Part_ID]]="","",_xlfn.LET(_xlpm.inA,ISNUMBER(MATCH(table_explicit_items[[#This Row],[Part_ID]],table_vendor_a[Part_ID],0)),_xlpm.inB,ISNUMBER(MATCH(table_explicit_items[[#This Row],[Part_ID]],table_vendor_b[Part_ID],0)),_xlpm.inC,ISNUMBER(MATCH(table_explicit_items[[#This Row],[Part_ID]],table_vendor_c[Part_ID],0)),_xlfn.SWITCH(TRUE,_xlpm.inA,"Vendor_A",_xlpm.inB,"Vendor_B",_xlpm.inC,"Vendor_C","Not Found")))</f>
        <v/>
      </c>
      <c r="E25" s="49"/>
      <c r="F25" s="46" t="str">
        <f>IF(table_explicit_items[[#This Row],[Part_ID]]="","",table_explicit_items[[#This Row],[Quantity_Per_Unit]]*Product_BOM!$D$4)</f>
        <v/>
      </c>
      <c r="G25" s="48" t="str">
        <f>IF(OR(table_explicit_items[[#This Row],[Part_ID]]="",table_explicit_items[[#This Row],[Vendor]]="Not Found"),"",_xlfn.LET(_xlpm.Src,table_explicit_items[[#This Row],[Vendor]],_xlpm.Price,_xlfn.SWITCH(_xlpm.Src,"Vendor_A",_xlfn.XLOOKUP(table_explicit_items[[#This Row],[Part_ID]],table_vendor_a[Part_ID],table_vendor_a[Unit_Price],0),"Vendor_B",_xlfn.XLOOKUP(table_explicit_items[[#This Row],[Part_ID]],table_vendor_b[Part_ID],table_vendor_b[Unit_Price],0),"Vendor_C",_xlfn.XLOOKUP(table_explicit_items[[#This Row],[Part_ID]],table_vendor_c[Part_ID],table_vendor_c[Unit_Price],0),0),IF(_xlpm.Price=0,"Price Missing",_xlpm.Price)))</f>
        <v/>
      </c>
      <c r="H25" s="48" t="str">
        <f>IF(OR(table_explicit_items[[#This Row],[Part_ID]]="", NOT(ISNUMBER(table_explicit_items[[#This Row],[Unit_Price]]))), "", table_explicit_items[[#This Row],[Total_Quantity]]*table_explicit_items[[#This Row],[Unit_Price]])</f>
        <v/>
      </c>
      <c r="I25" s="46">
        <f ca="1">IF(OR(table_explicit_items[[#This Row],[Part_ID]]="",table_explicit_items[[#This Row],[Vendor]]="Not Found"),0,IFERROR(_xlfn.XLOOKUP(table_explicit_items[[#This Row],[Part_ID]],INDIRECT("table_"&amp;LOWER(table_explicit_items[[#This Row],[Vendor]])&amp;"[Part_ID]"),INDIRECT("table_"&amp;LOWER(table_explicit_items[[#This Row],[Vendor]])&amp;"[Quantity_In_Stock]")),0))</f>
        <v>0</v>
      </c>
      <c r="J25" s="46">
        <f ca="1">IF(OR(table_explicit_items[[#This Row],[Part_ID]]="",table_explicit_items[[#This Row],[Vendor]]="Not Found"),0,IFERROR(_xlfn.XLOOKUP(table_explicit_items[[#This Row],[Part_ID]],INDIRECT("table_"&amp;LOWER(table_explicit_items[[#This Row],[Vendor]])&amp;"[Part_ID]"),INDIRECT("table_"&amp;LOWER(table_explicit_items[[#This Row],[Vendor]])&amp;"[Quantity_Per_Product]")),0))</f>
        <v>0</v>
      </c>
    </row>
    <row r="26" spans="2:10" ht="20" thickBot="1">
      <c r="B26" s="49"/>
      <c r="C26" s="46" t="str">
        <f>IF(OR(table_explicit_items[[#This Row],[Part_ID]]="",table_explicit_items[[#This Row],[Vendor]]="Not Found"),"",_xlfn.LET(_xlpm.Src,table_explicit_items[[#This Row],[Vendor]],_xlpm.Name,_xlfn.SWITCH(_xlpm.Src,"Vendor_A",_xlfn.XLOOKUP(table_explicit_items[[#This Row],[Part_ID]],table_vendor_a[Part_ID],table_vendor_a[Part_Name],""),"Vendor_B",_xlfn.XLOOKUP(table_explicit_items[[#This Row],[Part_ID]],table_vendor_b[Part_ID],table_vendor_b[Part_Name],""),"Vendor_C",_xlfn.XLOOKUP(table_explicit_items[[#This Row],[Part_ID]],table_vendor_c[Part_ID],table_vendor_c[Part_Name],""),""),IF(_xlpm.Name="","Not Found",_xlpm.Name)))</f>
        <v/>
      </c>
      <c r="D26" s="46" t="str">
        <f>IF(table_explicit_items[[#This Row],[Part_ID]]="","",_xlfn.LET(_xlpm.inA,ISNUMBER(MATCH(table_explicit_items[[#This Row],[Part_ID]],table_vendor_a[Part_ID],0)),_xlpm.inB,ISNUMBER(MATCH(table_explicit_items[[#This Row],[Part_ID]],table_vendor_b[Part_ID],0)),_xlpm.inC,ISNUMBER(MATCH(table_explicit_items[[#This Row],[Part_ID]],table_vendor_c[Part_ID],0)),_xlfn.SWITCH(TRUE,_xlpm.inA,"Vendor_A",_xlpm.inB,"Vendor_B",_xlpm.inC,"Vendor_C","Not Found")))</f>
        <v/>
      </c>
      <c r="E26" s="49"/>
      <c r="F26" s="46" t="str">
        <f>IF(table_explicit_items[[#This Row],[Part_ID]]="","",table_explicit_items[[#This Row],[Quantity_Per_Unit]]*Product_BOM!$D$4)</f>
        <v/>
      </c>
      <c r="G26" s="48" t="str">
        <f>IF(OR(table_explicit_items[[#This Row],[Part_ID]]="",table_explicit_items[[#This Row],[Vendor]]="Not Found"),"",_xlfn.LET(_xlpm.Src,table_explicit_items[[#This Row],[Vendor]],_xlpm.Price,_xlfn.SWITCH(_xlpm.Src,"Vendor_A",_xlfn.XLOOKUP(table_explicit_items[[#This Row],[Part_ID]],table_vendor_a[Part_ID],table_vendor_a[Unit_Price],0),"Vendor_B",_xlfn.XLOOKUP(table_explicit_items[[#This Row],[Part_ID]],table_vendor_b[Part_ID],table_vendor_b[Unit_Price],0),"Vendor_C",_xlfn.XLOOKUP(table_explicit_items[[#This Row],[Part_ID]],table_vendor_c[Part_ID],table_vendor_c[Unit_Price],0),0),IF(_xlpm.Price=0,"Price Missing",_xlpm.Price)))</f>
        <v/>
      </c>
      <c r="H26" s="48" t="str">
        <f>IF(OR(table_explicit_items[[#This Row],[Part_ID]]="", NOT(ISNUMBER(table_explicit_items[[#This Row],[Unit_Price]]))), "", table_explicit_items[[#This Row],[Total_Quantity]]*table_explicit_items[[#This Row],[Unit_Price]])</f>
        <v/>
      </c>
      <c r="I26" s="46">
        <f ca="1">IF(OR(table_explicit_items[[#This Row],[Part_ID]]="",table_explicit_items[[#This Row],[Vendor]]="Not Found"),0,IFERROR(_xlfn.XLOOKUP(table_explicit_items[[#This Row],[Part_ID]],INDIRECT("table_"&amp;LOWER(table_explicit_items[[#This Row],[Vendor]])&amp;"[Part_ID]"),INDIRECT("table_"&amp;LOWER(table_explicit_items[[#This Row],[Vendor]])&amp;"[Quantity_In_Stock]")),0))</f>
        <v>0</v>
      </c>
      <c r="J26" s="46">
        <f ca="1">IF(OR(table_explicit_items[[#This Row],[Part_ID]]="",table_explicit_items[[#This Row],[Vendor]]="Not Found"),0,IFERROR(_xlfn.XLOOKUP(table_explicit_items[[#This Row],[Part_ID]],INDIRECT("table_"&amp;LOWER(table_explicit_items[[#This Row],[Vendor]])&amp;"[Part_ID]"),INDIRECT("table_"&amp;LOWER(table_explicit_items[[#This Row],[Vendor]])&amp;"[Quantity_Per_Product]")),0))</f>
        <v>0</v>
      </c>
    </row>
    <row r="27" spans="2:10" ht="19" thickBot="1">
      <c r="B27" s="28"/>
      <c r="C27" s="26"/>
      <c r="D27" s="27"/>
      <c r="E27" s="28"/>
      <c r="F27" s="26"/>
      <c r="G27" s="29"/>
      <c r="H27" s="29"/>
      <c r="I27" s="28"/>
    </row>
    <row r="28" spans="2:10" ht="19" thickBot="1">
      <c r="B28" s="28"/>
      <c r="C28" s="26"/>
      <c r="D28" s="27"/>
      <c r="E28" s="28"/>
      <c r="F28" s="26"/>
      <c r="G28" s="29"/>
      <c r="H28" s="29"/>
      <c r="I28" s="28"/>
    </row>
    <row r="29" spans="2:10" ht="19" thickBot="1">
      <c r="B29" s="28"/>
      <c r="C29" s="26"/>
      <c r="D29" s="27"/>
      <c r="E29" s="28"/>
      <c r="F29" s="26"/>
      <c r="G29" s="29"/>
      <c r="H29" s="29"/>
      <c r="I29" s="28"/>
    </row>
    <row r="30" spans="2:10" ht="19" thickBot="1">
      <c r="B30" s="28"/>
      <c r="C30" s="26"/>
      <c r="D30" s="27"/>
      <c r="E30" s="28"/>
      <c r="F30" s="26"/>
      <c r="G30" s="29"/>
      <c r="H30" s="29"/>
      <c r="I30" s="28"/>
    </row>
    <row r="31" spans="2:10" ht="19" thickBot="1">
      <c r="B31" s="28"/>
      <c r="C31" s="26"/>
      <c r="D31" s="27"/>
      <c r="E31" s="28"/>
      <c r="F31" s="26"/>
      <c r="G31" s="29"/>
      <c r="H31" s="29"/>
      <c r="I31" s="28"/>
    </row>
  </sheetData>
  <sheetProtection sheet="1" objects="1" scenarios="1"/>
  <mergeCells count="1">
    <mergeCell ref="B17:I17"/>
  </mergeCells>
  <phoneticPr fontId="4" type="noConversion"/>
  <conditionalFormatting sqref="I4 I8:I14">
    <cfRule type="cellIs" dxfId="1" priority="7" stopIfTrue="1" operator="lessThan">
      <formula>#REF!</formula>
    </cfRule>
  </conditionalFormatting>
  <conditionalFormatting sqref="I8:I14">
    <cfRule type="expression" dxfId="0" priority="8" stopIfTrue="1">
      <formula>#REF!&lt;#REF!</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eset Inputs">
              <controlPr defaultSize="0" print="0" autoFill="0" autoPict="0" macro="[0]!ResetAllBOMTables" altText="Reset Inputs">
                <anchor moveWithCells="1" sizeWithCells="1">
                  <from>
                    <xdr:col>2</xdr:col>
                    <xdr:colOff>508000</xdr:colOff>
                    <xdr:row>28</xdr:row>
                    <xdr:rowOff>12700</xdr:rowOff>
                  </from>
                  <to>
                    <xdr:col>2</xdr:col>
                    <xdr:colOff>4254500</xdr:colOff>
                    <xdr:row>31</xdr:row>
                    <xdr:rowOff>203200</xdr:rowOff>
                  </to>
                </anchor>
              </controlPr>
            </control>
          </mc:Choice>
        </mc:AlternateContent>
        <mc:AlternateContent xmlns:mc="http://schemas.openxmlformats.org/markup-compatibility/2006">
          <mc:Choice Requires="x14">
            <control shapeId="2095" r:id="rId4" name="Button 47">
              <controlPr defaultSize="0" print="0" autoFill="0" autoPict="0" macro="[0]!ResetAllBOMTables">
                <anchor moveWithCells="1" sizeWithCells="1">
                  <from>
                    <xdr:col>1</xdr:col>
                    <xdr:colOff>0</xdr:colOff>
                    <xdr:row>27</xdr:row>
                    <xdr:rowOff>76200</xdr:rowOff>
                  </from>
                  <to>
                    <xdr:col>2</xdr:col>
                    <xdr:colOff>0</xdr:colOff>
                    <xdr:row>30</xdr:row>
                    <xdr:rowOff>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E909904A-119A-FE4C-AE99-E16FD09B4316}">
          <x14:formula1>
            <xm:f>Product_List!$H$6:$H$48</xm:f>
          </x14:formula1>
          <xm:sqref>B4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9E51BDB-C6D9-684E-935C-3326375AED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Sheet1</vt:lpstr>
      <vt:lpstr>Vendor_A</vt:lpstr>
      <vt:lpstr>Vendor_B</vt:lpstr>
      <vt:lpstr>Vendor_C</vt:lpstr>
      <vt:lpstr>Product_List</vt:lpstr>
      <vt:lpstr>Product_BOM</vt:lpstr>
      <vt:lpstr>fnGetParameter</vt:lpstr>
      <vt:lpstr>Global_Production_Volume</vt:lpstr>
      <vt:lpstr>Max_Buildable_Qty</vt:lpstr>
      <vt:lpstr>SelectionSource</vt:lpstr>
      <vt:lpstr>UserSelection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Patel,Vasu</dc:creator>
  <cp:lastModifiedBy>Patel,Vasu</cp:lastModifiedBy>
  <dcterms:created xsi:type="dcterms:W3CDTF">2026-02-14T04:52:33Z</dcterms:created>
  <dcterms:modified xsi:type="dcterms:W3CDTF">2026-02-23T13:54:49Z</dcterms:modified>
</cp:coreProperties>
</file>